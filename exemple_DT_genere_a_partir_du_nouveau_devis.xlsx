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T Devis 1" sheetId="1" state="visible" r:id="rId1"/>
  </sheets>
  <externalReferences>
    <externalReference xmlns:r="http://schemas.openxmlformats.org/officeDocument/2006/relationships" r:id="rId2"/>
  </externalReferences>
  <definedNames>
    <definedName name="ListeClients">[1]DB!$M$2:$N$800</definedName>
    <definedName name="zoneAchatsTotaux">'[1]Gabarit standard'!$C$128:$Q$137,'[1]Gabarit standard'!$C$140:$Q$149,'[1]Gabarit standard'!$C$152:$Q$161,'[1]Gabarit standard'!$C$164:$Q$173,'[1]Gabarit standard'!$C$176:$Q$185,'[1]Gabarit standard'!$C$188:$Q$197</definedName>
    <definedName name="ImpressionDossier" localSheetId="0">'DT Devis 1'!$K$4:$T$67</definedName>
    <definedName name="numeroDossier" localSheetId="0">'DT Devis 1'!$M$9</definedName>
    <definedName name="_xlnm.Print_Area" localSheetId="0">'DT Devis 1'!$L$5:$S$438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&quot;€&quot;#,##0.00_);[Red]\(&quot;€&quot;#,##0.00\)"/>
    <numFmt numFmtId="165" formatCode="0.0&quot; cm&quot;"/>
    <numFmt numFmtId="166" formatCode="0.00&quot; €/m²&quot;"/>
    <numFmt numFmtId="167" formatCode="#\ ##0&quot; plaques&quot;"/>
    <numFmt numFmtId="168" formatCode="0.00&quot; €&quot;"/>
    <numFmt numFmtId="169" formatCode="_(&quot;€&quot;* #,##0.00_);_(&quot;€&quot;* \(#,##0.00\);_(&quot;€&quot;* &quot;-&quot;??_);_(@_)"/>
    <numFmt numFmtId="170" formatCode="0.00&quot; m²&quot;"/>
    <numFmt numFmtId="171" formatCode="&quot;Tps : &quot;0.00&quot; h&quot;"/>
    <numFmt numFmtId="172" formatCode="_-* #,##0.00\ [$€-40C]_-;\-* #,##0.00\ [$€-40C]_-;_-* &quot;-&quot;??\ [$€-40C]_-;_-@_-"/>
    <numFmt numFmtId="173" formatCode="0.000"/>
    <numFmt numFmtId="174" formatCode="0.00&quot; h&quot;"/>
  </numFmts>
  <fonts count="10">
    <font>
      <name val="Arial"/>
      <sz val="10"/>
    </font>
    <font>
      <name val="Arial"/>
      <family val="2"/>
      <color theme="0"/>
      <sz val="10"/>
    </font>
    <font>
      <name val="Arial"/>
      <family val="2"/>
      <b val="1"/>
      <sz val="16"/>
    </font>
    <font>
      <name val="Arial"/>
      <family val="2"/>
      <color theme="0"/>
      <sz val="20"/>
    </font>
    <font>
      <name val="Arial"/>
      <family val="2"/>
      <sz val="20"/>
    </font>
    <font>
      <name val="Arial"/>
      <family val="2"/>
      <sz val="1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theme="0"/>
      <sz val="11"/>
    </font>
  </fonts>
  <fills count="6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169" fontId="6" fillId="0" borderId="0"/>
    <xf numFmtId="9" fontId="6" fillId="0" borderId="0"/>
    <xf numFmtId="169" fontId="6" fillId="0" borderId="0"/>
  </cellStyleXfs>
  <cellXfs count="140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1" fillId="0" borderId="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14" fontId="0" fillId="0" borderId="10" pivotButton="0" quotePrefix="0" xfId="0"/>
    <xf numFmtId="0" fontId="0" fillId="0" borderId="8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4" pivotButton="0" quotePrefix="0" xfId="0"/>
    <xf numFmtId="0" fontId="0" fillId="0" borderId="1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vertical="top" wrapText="1"/>
    </xf>
    <xf numFmtId="0" fontId="8" fillId="0" borderId="19" applyAlignment="1" pivotButton="0" quotePrefix="0" xfId="0">
      <alignment vertical="top" wrapText="1"/>
    </xf>
    <xf numFmtId="0" fontId="8" fillId="0" borderId="20" applyAlignment="1" pivotButton="0" quotePrefix="0" xfId="0">
      <alignment vertical="top" wrapText="1"/>
    </xf>
    <xf numFmtId="0" fontId="8" fillId="0" borderId="12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13" applyAlignment="1" pivotButton="0" quotePrefix="0" xfId="0">
      <alignment vertical="top" wrapText="1"/>
    </xf>
    <xf numFmtId="0" fontId="8" fillId="0" borderId="21" applyAlignment="1" pivotButton="0" quotePrefix="0" xfId="0">
      <alignment vertical="top" wrapText="1"/>
    </xf>
    <xf numFmtId="0" fontId="8" fillId="0" borderId="22" applyAlignment="1" pivotButton="0" quotePrefix="0" xfId="0">
      <alignment vertical="top" wrapText="1"/>
    </xf>
    <xf numFmtId="0" fontId="8" fillId="0" borderId="23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14" fontId="0" fillId="0" borderId="14" pivotButton="0" quotePrefix="0" xfId="0"/>
    <xf numFmtId="0" fontId="6" fillId="0" borderId="0" pivotButton="0" quotePrefix="0" xfId="3"/>
    <xf numFmtId="0" fontId="0" fillId="0" borderId="2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6" fillId="0" borderId="0" pivotButton="0" quotePrefix="0" xfId="2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6" fillId="0" borderId="0" pivotButton="0" quotePrefix="0" xfId="3"/>
    <xf numFmtId="170" fontId="0" fillId="0" borderId="0" pivotButton="0" quotePrefix="0" xfId="0"/>
    <xf numFmtId="171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6" fillId="0" borderId="22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9" fontId="0" fillId="0" borderId="1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172" fontId="0" fillId="0" borderId="10" applyAlignment="1" pivotButton="0" quotePrefix="0" xfId="1">
      <alignment vertical="center"/>
    </xf>
    <xf numFmtId="0" fontId="6" fillId="0" borderId="25" applyAlignment="1" pivotButton="0" quotePrefix="0" xfId="0">
      <alignment horizontal="center" vertical="center"/>
    </xf>
    <xf numFmtId="2" fontId="0" fillId="4" borderId="26" applyAlignment="1" pivotButton="0" quotePrefix="0" xfId="0">
      <alignment vertical="center"/>
    </xf>
    <xf numFmtId="173" fontId="0" fillId="4" borderId="26" applyAlignment="1" pivotButton="0" quotePrefix="0" xfId="0">
      <alignment horizontal="center" vertical="center"/>
    </xf>
    <xf numFmtId="172" fontId="0" fillId="0" borderId="10" applyAlignment="1" pivotButton="0" quotePrefix="0" xfId="0">
      <alignment vertical="center"/>
    </xf>
    <xf numFmtId="9" fontId="0" fillId="0" borderId="26" applyAlignment="1" pivotButton="0" quotePrefix="0" xfId="2">
      <alignment vertical="center"/>
    </xf>
    <xf numFmtId="172" fontId="0" fillId="0" borderId="27" applyAlignment="1" pivotButton="0" quotePrefix="0" xfId="1">
      <alignment vertical="center"/>
    </xf>
    <xf numFmtId="172" fontId="0" fillId="0" borderId="28" applyAlignment="1" pivotButton="0" quotePrefix="0" xfId="1">
      <alignment vertical="center"/>
    </xf>
    <xf numFmtId="0" fontId="6" fillId="0" borderId="0" pivotButton="0" quotePrefix="0" xfId="0"/>
    <xf numFmtId="0" fontId="0" fillId="0" borderId="0" pivotButton="0" quotePrefix="0" xfId="0"/>
    <xf numFmtId="0" fontId="0" fillId="0" borderId="13" pivotButton="0" quotePrefix="0" xfId="0"/>
    <xf numFmtId="172" fontId="0" fillId="0" borderId="10" applyAlignment="1" pivotButton="0" quotePrefix="0" xfId="1">
      <alignment horizontal="center" vertical="center"/>
    </xf>
    <xf numFmtId="0" fontId="6" fillId="0" borderId="12" applyAlignment="1" pivotButton="0" quotePrefix="0" xfId="0">
      <alignment horizontal="center" vertical="center"/>
    </xf>
    <xf numFmtId="172" fontId="0" fillId="0" borderId="10" applyAlignment="1" pivotButton="0" quotePrefix="0" xfId="0">
      <alignment horizontal="center" vertical="center"/>
    </xf>
    <xf numFmtId="9" fontId="0" fillId="0" borderId="26" applyAlignment="1" pivotButton="0" quotePrefix="0" xfId="2">
      <alignment horizontal="center" vertical="center"/>
    </xf>
    <xf numFmtId="172" fontId="0" fillId="0" borderId="27" applyAlignment="1" pivotButton="0" quotePrefix="0" xfId="1">
      <alignment horizontal="center" vertical="center"/>
    </xf>
    <xf numFmtId="172" fontId="0" fillId="0" borderId="28" applyAlignment="1" pivotButton="0" quotePrefix="0" xfId="1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5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20" pivotButton="0" quotePrefix="0" xfId="0"/>
    <xf numFmtId="174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left" vertical="center"/>
    </xf>
    <xf numFmtId="0" fontId="0" fillId="0" borderId="10" pivotButton="0" quotePrefix="0" xfId="0"/>
    <xf numFmtId="174" fontId="0" fillId="0" borderId="26" applyAlignment="1" pivotButton="0" quotePrefix="0" xfId="0">
      <alignment vertical="center"/>
    </xf>
    <xf numFmtId="0" fontId="0" fillId="0" borderId="8" pivotButton="0" quotePrefix="0" xfId="0"/>
    <xf numFmtId="174" fontId="0" fillId="0" borderId="27" applyAlignment="1" pivotButton="0" quotePrefix="0" xfId="0">
      <alignment vertical="center"/>
    </xf>
    <xf numFmtId="174" fontId="0" fillId="0" borderId="28" applyAlignment="1" pivotButton="0" quotePrefix="0" xfId="0">
      <alignment vertical="center"/>
    </xf>
    <xf numFmtId="0" fontId="0" fillId="5" borderId="0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applyAlignment="1" pivotButton="0" quotePrefix="0" xfId="0">
      <alignment vertical="center"/>
    </xf>
    <xf numFmtId="0" fontId="0" fillId="0" borderId="11" pivotButton="0" quotePrefix="0" xfId="0"/>
    <xf numFmtId="0" fontId="0" fillId="0" borderId="32" applyAlignment="1" pivotButton="0" quotePrefix="0" xfId="0">
      <alignment vertical="center"/>
    </xf>
    <xf numFmtId="0" fontId="0" fillId="0" borderId="31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6" fillId="0" borderId="10" applyAlignment="1" pivotButton="0" quotePrefix="0" xfId="0">
      <alignment vertical="top" wrapText="1"/>
    </xf>
    <xf numFmtId="0" fontId="0" fillId="0" borderId="19" pivotButton="0" quotePrefix="0" xfId="0"/>
    <xf numFmtId="0" fontId="0" fillId="0" borderId="12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0" applyAlignment="1" pivotButton="0" quotePrefix="0" xfId="0">
      <alignment vertical="top" wrapText="1"/>
    </xf>
    <xf numFmtId="0" fontId="0" fillId="0" borderId="31" applyAlignment="1" pivotButton="0" quotePrefix="0" xfId="0">
      <alignment horizontal="center" vertical="center"/>
    </xf>
    <xf numFmtId="168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9" fontId="6" fillId="0" borderId="0" pivotButton="0" quotePrefix="0" xfId="3"/>
    <xf numFmtId="0" fontId="9" fillId="3" borderId="31" applyAlignment="1" pivotButton="0" quotePrefix="0" xfId="0">
      <alignment horizontal="center" vertical="center"/>
    </xf>
    <xf numFmtId="169" fontId="0" fillId="0" borderId="10" applyAlignment="1" pivotButton="0" quotePrefix="0" xfId="1">
      <alignment vertical="center"/>
    </xf>
    <xf numFmtId="0" fontId="0" fillId="0" borderId="30" pivotButton="0" quotePrefix="0" xfId="0"/>
    <xf numFmtId="0" fontId="6" fillId="0" borderId="13" pivotButton="0" quotePrefix="0" xfId="0"/>
    <xf numFmtId="0" fontId="0" fillId="0" borderId="32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</cellXfs>
  <cellStyles count="4">
    <cellStyle name="Normal" xfId="0" builtinId="0"/>
    <cellStyle name="Monétaire" xfId="1" builtinId="4"/>
    <cellStyle name="Pourcentage" xfId="2" builtinId="5"/>
    <cellStyle name="Euro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17</col>
      <colOff>533401</colOff>
      <row>3</row>
      <rowOff>155575</rowOff>
    </from>
    <to>
      <col>18</col>
      <colOff>531773</colOff>
      <row>9</row>
      <rowOff>2550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3541" y="658495"/>
          <a:ext cx="813712" cy="9442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ponceblanc.sharepoint.com/Documents%20partages/Administratif/PROJET/3%20-%20ERP/3.%20Module%20&#233;tude%20de%20prix/Exemples%20devis/LBFI/20260402_RougeGorge_PLV_XXL_680x340mm_RosePE26._20260245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cueil"/>
      <sheetName val="APPEL D'OFFRE"/>
      <sheetName val="Demande de prix"/>
      <sheetName val="Devis 1"/>
      <sheetName val="Devis 0"/>
      <sheetName val="DT Devis 1"/>
      <sheetName val="Impositions"/>
      <sheetName val="Client"/>
      <sheetName val="Gabarit standard"/>
      <sheetName val="DB"/>
      <sheetName val="D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8">
          <cell r="H128" t="str"/>
          <cell r="I128" t="str"/>
          <cell r="J128" t="str"/>
          <cell r="K128">
            <v>0</v>
          </cell>
          <cell r="L128">
            <v>0</v>
          </cell>
          <cell r="M128" t="str"/>
          <cell r="O128" t="str"/>
          <cell r="P128">
            <v>0</v>
          </cell>
          <cell r="Q128" t="str"/>
        </row>
        <row r="129">
          <cell r="H129" t="str"/>
          <cell r="I129" t="str"/>
          <cell r="J129" t="str"/>
          <cell r="K129">
            <v>0</v>
          </cell>
          <cell r="L129">
            <v>0</v>
          </cell>
          <cell r="M129" t="str"/>
          <cell r="O129" t="str"/>
          <cell r="P129">
            <v>0</v>
          </cell>
          <cell r="Q129" t="str"/>
        </row>
        <row r="130">
          <cell r="H130" t="str"/>
          <cell r="I130" t="str"/>
          <cell r="J130" t="str"/>
          <cell r="K130">
            <v>0</v>
          </cell>
          <cell r="L130">
            <v>0</v>
          </cell>
          <cell r="M130" t="str"/>
          <cell r="O130" t="str"/>
          <cell r="P130">
            <v>0</v>
          </cell>
          <cell r="Q130" t="str"/>
        </row>
        <row r="131">
          <cell r="H131" t="str"/>
          <cell r="I131" t="str"/>
          <cell r="J131" t="str"/>
          <cell r="K131">
            <v>0</v>
          </cell>
          <cell r="L131">
            <v>0</v>
          </cell>
          <cell r="M131" t="str"/>
          <cell r="O131" t="str"/>
          <cell r="P131">
            <v>0</v>
          </cell>
          <cell r="Q131" t="str"/>
        </row>
        <row r="132">
          <cell r="H132" t="str"/>
          <cell r="I132" t="str"/>
          <cell r="J132" t="str"/>
          <cell r="K132">
            <v>0</v>
          </cell>
          <cell r="L132">
            <v>0</v>
          </cell>
          <cell r="M132" t="str"/>
          <cell r="O132" t="str"/>
          <cell r="P132">
            <v>0</v>
          </cell>
          <cell r="Q132" t="str"/>
        </row>
        <row r="133">
          <cell r="H133" t="str"/>
          <cell r="I133" t="str"/>
          <cell r="J133" t="str"/>
          <cell r="K133">
            <v>0</v>
          </cell>
          <cell r="L133">
            <v>0</v>
          </cell>
          <cell r="M133" t="str"/>
          <cell r="O133" t="str"/>
          <cell r="P133">
            <v>0</v>
          </cell>
          <cell r="Q133" t="str"/>
        </row>
        <row r="134">
          <cell r="H134" t="str"/>
          <cell r="I134" t="str"/>
          <cell r="J134" t="str"/>
          <cell r="K134">
            <v>0</v>
          </cell>
          <cell r="L134">
            <v>0</v>
          </cell>
          <cell r="M134" t="str"/>
          <cell r="O134" t="str"/>
          <cell r="P134">
            <v>0</v>
          </cell>
          <cell r="Q134" t="str"/>
        </row>
        <row r="135">
          <cell r="H135" t="str"/>
          <cell r="I135" t="str"/>
          <cell r="J135" t="str"/>
          <cell r="K135">
            <v>0</v>
          </cell>
          <cell r="L135">
            <v>0</v>
          </cell>
          <cell r="M135" t="str"/>
          <cell r="O135" t="str"/>
          <cell r="P135">
            <v>0</v>
          </cell>
          <cell r="Q135" t="str"/>
        </row>
        <row r="136">
          <cell r="H136" t="str"/>
          <cell r="I136" t="str"/>
          <cell r="J136" t="str"/>
          <cell r="K136">
            <v>0</v>
          </cell>
          <cell r="L136">
            <v>0</v>
          </cell>
          <cell r="M136" t="str"/>
          <cell r="O136" t="str"/>
          <cell r="P136">
            <v>0</v>
          </cell>
          <cell r="Q136" t="str"/>
        </row>
        <row r="137">
          <cell r="H137" t="str"/>
          <cell r="I137" t="str"/>
          <cell r="J137" t="str"/>
          <cell r="K137">
            <v>0</v>
          </cell>
          <cell r="L137">
            <v>0</v>
          </cell>
          <cell r="M137" t="str"/>
          <cell r="O137" t="str"/>
          <cell r="P137">
            <v>0</v>
          </cell>
          <cell r="Q137" t="str"/>
        </row>
        <row r="140">
          <cell r="H140" t="str"/>
          <cell r="I140" t="str"/>
          <cell r="J140" t="str"/>
          <cell r="K140" t="str"/>
          <cell r="M140" t="str"/>
          <cell r="O140" t="str"/>
          <cell r="P140">
            <v>0</v>
          </cell>
          <cell r="Q140" t="str"/>
        </row>
        <row r="141">
          <cell r="H141" t="str"/>
          <cell r="I141" t="str"/>
          <cell r="J141" t="str"/>
          <cell r="K141" t="str"/>
          <cell r="M141" t="str"/>
          <cell r="O141" t="str"/>
          <cell r="P141">
            <v>0</v>
          </cell>
          <cell r="Q141" t="str"/>
        </row>
        <row r="142">
          <cell r="H142" t="str"/>
          <cell r="I142" t="str"/>
          <cell r="J142" t="str"/>
          <cell r="K142" t="str"/>
          <cell r="M142" t="str"/>
          <cell r="O142" t="str"/>
          <cell r="P142">
            <v>0</v>
          </cell>
          <cell r="Q142" t="str"/>
        </row>
        <row r="143">
          <cell r="H143" t="str"/>
          <cell r="I143" t="str"/>
          <cell r="J143" t="str"/>
          <cell r="K143" t="str"/>
          <cell r="M143" t="str"/>
          <cell r="O143" t="str"/>
          <cell r="P143">
            <v>0</v>
          </cell>
          <cell r="Q143" t="str"/>
        </row>
        <row r="144">
          <cell r="H144" t="str"/>
          <cell r="I144" t="str"/>
          <cell r="J144" t="str"/>
          <cell r="K144" t="str"/>
          <cell r="M144" t="str"/>
          <cell r="O144" t="str"/>
          <cell r="P144">
            <v>0</v>
          </cell>
          <cell r="Q144" t="str"/>
        </row>
        <row r="145">
          <cell r="H145" t="str"/>
          <cell r="I145" t="str"/>
          <cell r="J145" t="str"/>
          <cell r="K145" t="str"/>
          <cell r="M145" t="str"/>
          <cell r="O145" t="str"/>
          <cell r="P145">
            <v>0</v>
          </cell>
          <cell r="Q145" t="str"/>
        </row>
        <row r="146">
          <cell r="H146" t="str"/>
          <cell r="I146" t="str"/>
          <cell r="J146" t="str"/>
          <cell r="K146" t="str"/>
          <cell r="M146" t="str"/>
          <cell r="O146" t="str"/>
          <cell r="P146">
            <v>0</v>
          </cell>
          <cell r="Q146" t="str"/>
        </row>
        <row r="147">
          <cell r="H147" t="str"/>
          <cell r="I147" t="str"/>
          <cell r="J147" t="str"/>
          <cell r="K147" t="str"/>
          <cell r="M147" t="str"/>
          <cell r="O147" t="str"/>
          <cell r="P147">
            <v>0</v>
          </cell>
          <cell r="Q147" t="str"/>
        </row>
        <row r="148">
          <cell r="H148" t="str"/>
          <cell r="I148" t="str"/>
          <cell r="J148" t="str"/>
          <cell r="K148" t="str"/>
          <cell r="M148" t="str"/>
          <cell r="O148" t="str"/>
          <cell r="P148">
            <v>0</v>
          </cell>
          <cell r="Q148" t="str"/>
        </row>
        <row r="149">
          <cell r="H149" t="str"/>
          <cell r="I149" t="str"/>
          <cell r="J149" t="str"/>
          <cell r="K149" t="str"/>
          <cell r="M149" t="str"/>
          <cell r="O149" t="str"/>
          <cell r="P149">
            <v>0</v>
          </cell>
          <cell r="Q149" t="str"/>
        </row>
        <row r="152">
          <cell r="H152" t="str"/>
          <cell r="K152">
            <v>1</v>
          </cell>
          <cell r="L152" t="str"/>
          <cell r="M152" t="str"/>
          <cell r="O152" t="str"/>
          <cell r="P152" t="str"/>
          <cell r="Q152" t="str"/>
        </row>
        <row r="153">
          <cell r="H153" t="str"/>
          <cell r="K153">
            <v>1</v>
          </cell>
          <cell r="L153" t="str"/>
          <cell r="M153" t="str"/>
          <cell r="O153" t="str"/>
          <cell r="P153" t="str"/>
          <cell r="Q153" t="str"/>
        </row>
        <row r="154">
          <cell r="H154" t="str"/>
          <cell r="K154">
            <v>1</v>
          </cell>
          <cell r="L154" t="str"/>
          <cell r="M154" t="str"/>
          <cell r="O154" t="str"/>
          <cell r="P154" t="str"/>
          <cell r="Q154" t="str"/>
        </row>
        <row r="155">
          <cell r="H155" t="str"/>
          <cell r="K155">
            <v>1</v>
          </cell>
          <cell r="L155" t="str"/>
          <cell r="M155" t="str"/>
          <cell r="O155" t="str"/>
          <cell r="P155" t="str"/>
          <cell r="Q155" t="str"/>
        </row>
        <row r="156">
          <cell r="H156" t="str"/>
          <cell r="K156">
            <v>1</v>
          </cell>
          <cell r="L156" t="str"/>
          <cell r="M156" t="str"/>
          <cell r="O156" t="str"/>
          <cell r="P156" t="str"/>
          <cell r="Q156" t="str"/>
        </row>
        <row r="157">
          <cell r="H157" t="str"/>
          <cell r="K157">
            <v>1</v>
          </cell>
          <cell r="L157" t="str"/>
          <cell r="M157" t="str"/>
          <cell r="O157" t="str"/>
          <cell r="P157" t="str"/>
          <cell r="Q157" t="str"/>
        </row>
        <row r="158">
          <cell r="H158" t="str"/>
          <cell r="K158">
            <v>1</v>
          </cell>
          <cell r="L158" t="str"/>
          <cell r="M158" t="str"/>
          <cell r="O158" t="str"/>
          <cell r="P158" t="str"/>
          <cell r="Q158" t="str"/>
        </row>
        <row r="159">
          <cell r="H159" t="str"/>
          <cell r="K159">
            <v>1</v>
          </cell>
          <cell r="L159" t="str"/>
          <cell r="M159" t="str"/>
          <cell r="O159" t="str"/>
          <cell r="P159" t="str"/>
          <cell r="Q159" t="str"/>
        </row>
        <row r="160">
          <cell r="H160" t="str"/>
          <cell r="K160">
            <v>1</v>
          </cell>
          <cell r="L160" t="str"/>
          <cell r="M160" t="str"/>
          <cell r="O160" t="str"/>
          <cell r="P160" t="str"/>
          <cell r="Q160" t="str"/>
        </row>
        <row r="161">
          <cell r="H161" t="str"/>
          <cell r="K161">
            <v>1</v>
          </cell>
          <cell r="L161" t="str"/>
          <cell r="M161" t="str"/>
          <cell r="O161" t="str"/>
          <cell r="P161" t="str"/>
          <cell r="Q161" t="str"/>
        </row>
        <row r="164">
          <cell r="H164" t="str"/>
          <cell r="J164">
            <v>1</v>
          </cell>
          <cell r="K164" t="str"/>
          <cell r="L164" t="str"/>
          <cell r="M164" t="str"/>
          <cell r="O164">
            <v>0</v>
          </cell>
          <cell r="P164">
            <v>0</v>
          </cell>
          <cell r="Q164" t="str"/>
        </row>
        <row r="165">
          <cell r="H165" t="str"/>
          <cell r="J165">
            <v>1</v>
          </cell>
          <cell r="K165" t="str"/>
          <cell r="L165" t="str"/>
          <cell r="M165" t="str"/>
          <cell r="O165">
            <v>0</v>
          </cell>
          <cell r="P165">
            <v>0</v>
          </cell>
          <cell r="Q165" t="str"/>
        </row>
        <row r="166">
          <cell r="H166" t="str"/>
          <cell r="J166">
            <v>1</v>
          </cell>
          <cell r="K166" t="str"/>
          <cell r="L166" t="str"/>
          <cell r="M166" t="str"/>
          <cell r="O166">
            <v>0</v>
          </cell>
          <cell r="P166">
            <v>0</v>
          </cell>
          <cell r="Q166" t="str"/>
        </row>
        <row r="167">
          <cell r="H167" t="str"/>
          <cell r="J167">
            <v>1</v>
          </cell>
          <cell r="K167" t="str"/>
          <cell r="L167" t="str"/>
          <cell r="M167" t="str"/>
          <cell r="O167">
            <v>0</v>
          </cell>
          <cell r="P167">
            <v>0</v>
          </cell>
          <cell r="Q167" t="str"/>
        </row>
        <row r="168">
          <cell r="H168" t="str"/>
          <cell r="J168">
            <v>1</v>
          </cell>
          <cell r="K168" t="str"/>
          <cell r="L168" t="str"/>
          <cell r="M168" t="str"/>
          <cell r="O168">
            <v>0</v>
          </cell>
          <cell r="P168">
            <v>0</v>
          </cell>
          <cell r="Q168" t="str"/>
        </row>
        <row r="169">
          <cell r="H169" t="str"/>
          <cell r="J169">
            <v>1</v>
          </cell>
          <cell r="K169" t="str"/>
          <cell r="L169" t="str"/>
          <cell r="M169" t="str"/>
          <cell r="O169">
            <v>0</v>
          </cell>
          <cell r="P169">
            <v>0</v>
          </cell>
          <cell r="Q169" t="str"/>
        </row>
        <row r="170">
          <cell r="H170" t="str"/>
          <cell r="J170">
            <v>1</v>
          </cell>
          <cell r="K170" t="str"/>
          <cell r="L170" t="str"/>
          <cell r="M170" t="str"/>
          <cell r="O170">
            <v>0</v>
          </cell>
          <cell r="P170">
            <v>0</v>
          </cell>
          <cell r="Q170" t="str"/>
        </row>
        <row r="171">
          <cell r="H171" t="str"/>
          <cell r="J171">
            <v>1</v>
          </cell>
          <cell r="K171" t="str"/>
          <cell r="L171" t="str"/>
          <cell r="M171" t="str"/>
          <cell r="O171">
            <v>0</v>
          </cell>
          <cell r="P171">
            <v>0</v>
          </cell>
          <cell r="Q171" t="str"/>
        </row>
        <row r="172">
          <cell r="H172" t="str"/>
          <cell r="J172">
            <v>1</v>
          </cell>
          <cell r="K172" t="str"/>
          <cell r="L172" t="str"/>
          <cell r="M172" t="str"/>
          <cell r="O172">
            <v>0</v>
          </cell>
          <cell r="P172">
            <v>0</v>
          </cell>
          <cell r="Q172" t="str"/>
        </row>
        <row r="173">
          <cell r="H173" t="str"/>
          <cell r="J173">
            <v>1</v>
          </cell>
          <cell r="K173" t="str"/>
          <cell r="L173" t="str"/>
          <cell r="M173" t="str"/>
          <cell r="O173">
            <v>0</v>
          </cell>
          <cell r="P173">
            <v>0</v>
          </cell>
          <cell r="Q173" t="str"/>
        </row>
        <row r="176">
          <cell r="H176" t="str"/>
          <cell r="I176" t="str"/>
          <cell r="L176" t="str"/>
          <cell r="M176" t="str"/>
          <cell r="O176">
            <v>0</v>
          </cell>
          <cell r="P176">
            <v>0</v>
          </cell>
          <cell r="Q176" t="str"/>
        </row>
        <row r="177">
          <cell r="H177" t="str"/>
          <cell r="I177" t="str"/>
          <cell r="L177" t="str"/>
          <cell r="M177" t="str"/>
          <cell r="O177">
            <v>0</v>
          </cell>
          <cell r="P177">
            <v>0</v>
          </cell>
          <cell r="Q177" t="str"/>
        </row>
        <row r="178">
          <cell r="H178" t="str"/>
          <cell r="I178" t="str"/>
          <cell r="L178" t="str"/>
          <cell r="M178" t="str"/>
          <cell r="O178">
            <v>0</v>
          </cell>
          <cell r="P178">
            <v>0</v>
          </cell>
          <cell r="Q178" t="str"/>
        </row>
        <row r="179">
          <cell r="H179" t="str"/>
          <cell r="I179" t="str"/>
          <cell r="L179" t="str"/>
          <cell r="M179" t="str"/>
          <cell r="O179">
            <v>0</v>
          </cell>
          <cell r="P179">
            <v>0</v>
          </cell>
          <cell r="Q179" t="str"/>
        </row>
        <row r="180">
          <cell r="H180" t="str"/>
          <cell r="I180" t="str"/>
          <cell r="L180" t="str"/>
          <cell r="M180" t="str"/>
          <cell r="O180">
            <v>0</v>
          </cell>
          <cell r="P180">
            <v>0</v>
          </cell>
          <cell r="Q180" t="str"/>
        </row>
        <row r="181">
          <cell r="H181" t="str"/>
          <cell r="I181" t="str"/>
          <cell r="L181" t="str"/>
          <cell r="M181" t="str"/>
          <cell r="O181">
            <v>0</v>
          </cell>
          <cell r="P181">
            <v>0</v>
          </cell>
          <cell r="Q181" t="str"/>
        </row>
        <row r="182">
          <cell r="H182" t="str"/>
          <cell r="I182" t="str"/>
          <cell r="L182" t="str"/>
          <cell r="M182" t="str"/>
          <cell r="O182">
            <v>0</v>
          </cell>
          <cell r="P182">
            <v>0</v>
          </cell>
          <cell r="Q182" t="str"/>
        </row>
        <row r="183">
          <cell r="H183" t="str"/>
          <cell r="I183" t="str"/>
          <cell r="L183" t="str"/>
          <cell r="M183" t="str"/>
          <cell r="O183">
            <v>0</v>
          </cell>
          <cell r="P183">
            <v>0</v>
          </cell>
          <cell r="Q183" t="str"/>
        </row>
        <row r="184">
          <cell r="H184" t="str"/>
          <cell r="I184" t="str"/>
          <cell r="L184" t="str"/>
          <cell r="M184" t="str"/>
          <cell r="O184">
            <v>0</v>
          </cell>
          <cell r="P184">
            <v>0</v>
          </cell>
          <cell r="Q184" t="str"/>
        </row>
        <row r="185">
          <cell r="H185" t="str"/>
          <cell r="I185" t="str"/>
          <cell r="L185" t="str"/>
          <cell r="M185" t="str"/>
          <cell r="O185">
            <v>0</v>
          </cell>
          <cell r="P185">
            <v>0</v>
          </cell>
          <cell r="Q185" t="str"/>
        </row>
        <row r="188">
          <cell r="H188" t="str"/>
          <cell r="I188" t="str"/>
          <cell r="K188">
            <v>0</v>
          </cell>
          <cell r="L188" t="str"/>
          <cell r="M188" t="str"/>
          <cell r="O188" t="str"/>
          <cell r="P188" t="str"/>
          <cell r="Q188" t="str"/>
        </row>
        <row r="189">
          <cell r="H189" t="str"/>
          <cell r="I189" t="str"/>
          <cell r="L189" t="str"/>
          <cell r="M189" t="str"/>
          <cell r="O189" t="str"/>
          <cell r="P189" t="str"/>
          <cell r="Q189" t="str"/>
        </row>
        <row r="190">
          <cell r="H190" t="str"/>
          <cell r="I190" t="str"/>
          <cell r="L190" t="str"/>
          <cell r="M190" t="str"/>
          <cell r="O190" t="str"/>
          <cell r="P190" t="str"/>
          <cell r="Q190" t="str"/>
        </row>
        <row r="191">
          <cell r="H191" t="str"/>
          <cell r="I191" t="str"/>
          <cell r="L191" t="str"/>
          <cell r="M191" t="str"/>
          <cell r="O191" t="str"/>
          <cell r="P191" t="str"/>
          <cell r="Q191" t="str"/>
        </row>
        <row r="192">
          <cell r="H192" t="str"/>
          <cell r="I192" t="str"/>
          <cell r="L192" t="str"/>
          <cell r="M192" t="str"/>
          <cell r="O192" t="str"/>
          <cell r="P192" t="str"/>
          <cell r="Q192" t="str"/>
        </row>
        <row r="193">
          <cell r="H193" t="str"/>
          <cell r="I193" t="str"/>
          <cell r="L193" t="str"/>
          <cell r="M193" t="str"/>
          <cell r="O193" t="str"/>
          <cell r="P193" t="str"/>
          <cell r="Q193" t="str"/>
        </row>
        <row r="194">
          <cell r="H194" t="str"/>
          <cell r="I194" t="str"/>
          <cell r="L194" t="str"/>
          <cell r="M194" t="str"/>
          <cell r="O194" t="str"/>
          <cell r="P194" t="str"/>
          <cell r="Q194" t="str"/>
        </row>
        <row r="195">
          <cell r="H195" t="str"/>
          <cell r="I195" t="str"/>
          <cell r="L195" t="str"/>
          <cell r="M195" t="str"/>
          <cell r="O195" t="str"/>
          <cell r="P195" t="str"/>
          <cell r="Q195" t="str"/>
        </row>
        <row r="196">
          <cell r="H196" t="str"/>
          <cell r="I196" t="str"/>
          <cell r="L196" t="str"/>
          <cell r="M196" t="str"/>
          <cell r="O196" t="str"/>
          <cell r="P196" t="str"/>
          <cell r="Q196" t="str"/>
        </row>
        <row r="197">
          <cell r="H197" t="str"/>
          <cell r="I197" t="str"/>
          <cell r="L197" t="str"/>
          <cell r="M197" t="str"/>
          <cell r="O197" t="str"/>
          <cell r="P197" t="str"/>
          <cell r="Q197" t="str"/>
        </row>
      </sheetData>
      <sheetData sheetId="9">
        <row r="2">
          <cell r="M2" t="str">
            <v>100Pages</v>
          </cell>
          <cell r="N2">
            <v>1</v>
          </cell>
        </row>
        <row r="3">
          <cell r="M3" t="str">
            <v>2Ponts</v>
          </cell>
          <cell r="N3">
            <v>1</v>
          </cell>
        </row>
        <row r="4">
          <cell r="M4" t="str">
            <v>3n_Graphique</v>
          </cell>
          <cell r="N4">
            <v>1</v>
          </cell>
        </row>
        <row r="5">
          <cell r="M5" t="str">
            <v>Abena_Frantex</v>
          </cell>
          <cell r="N5">
            <v>1</v>
          </cell>
        </row>
        <row r="6">
          <cell r="M6" t="str">
            <v>AbsoluPrint</v>
          </cell>
          <cell r="N6">
            <v>1</v>
          </cell>
        </row>
        <row r="7">
          <cell r="M7" t="str">
            <v>AC_Print</v>
          </cell>
          <cell r="N7">
            <v>1</v>
          </cell>
        </row>
        <row r="8">
          <cell r="M8" t="str">
            <v>Accante</v>
          </cell>
          <cell r="N8">
            <v>1</v>
          </cell>
        </row>
        <row r="9">
          <cell r="M9" t="str">
            <v>ACFM_Impression</v>
          </cell>
          <cell r="N9">
            <v>1</v>
          </cell>
        </row>
        <row r="10">
          <cell r="M10" t="str">
            <v>ACM_France</v>
          </cell>
          <cell r="N10">
            <v>1</v>
          </cell>
        </row>
        <row r="11">
          <cell r="M11" t="str">
            <v>ACPLV</v>
          </cell>
          <cell r="N11">
            <v>1</v>
          </cell>
        </row>
        <row r="12">
          <cell r="M12" t="str">
            <v>Adoucisseur_Service</v>
          </cell>
          <cell r="N12">
            <v>1</v>
          </cell>
        </row>
        <row r="13">
          <cell r="M13" t="str">
            <v>Adrénaline</v>
          </cell>
          <cell r="N13">
            <v>1</v>
          </cell>
        </row>
        <row r="14">
          <cell r="M14" t="str">
            <v>ADZ</v>
          </cell>
          <cell r="N14">
            <v>1</v>
          </cell>
        </row>
        <row r="15">
          <cell r="M15" t="str">
            <v>Aéroport_Lesquin</v>
          </cell>
          <cell r="N15">
            <v>1</v>
          </cell>
        </row>
        <row r="16">
          <cell r="M16" t="str">
            <v>Afchain</v>
          </cell>
          <cell r="N16">
            <v>1</v>
          </cell>
        </row>
        <row r="17">
          <cell r="M17" t="str">
            <v>AFI_Diffusion</v>
          </cell>
          <cell r="N17">
            <v>1</v>
          </cell>
        </row>
        <row r="18">
          <cell r="M18" t="str">
            <v>AFORProductions</v>
          </cell>
          <cell r="N18">
            <v>1</v>
          </cell>
        </row>
        <row r="19">
          <cell r="M19" t="str">
            <v>AG_Services</v>
          </cell>
          <cell r="N19">
            <v>1</v>
          </cell>
        </row>
        <row r="20">
          <cell r="M20" t="str">
            <v>AGCO</v>
          </cell>
          <cell r="N20">
            <v>1</v>
          </cell>
        </row>
        <row r="21">
          <cell r="M21" t="str">
            <v>Agence_Afortiori</v>
          </cell>
          <cell r="N21">
            <v>1</v>
          </cell>
        </row>
        <row r="22">
          <cell r="M22" t="str">
            <v>Agence_Beecom</v>
          </cell>
          <cell r="N22">
            <v>1</v>
          </cell>
        </row>
        <row r="23">
          <cell r="M23" t="str">
            <v>Agence_Briel</v>
          </cell>
          <cell r="N23">
            <v>1</v>
          </cell>
        </row>
        <row r="24">
          <cell r="M24" t="str">
            <v>Agence_Camélance</v>
          </cell>
          <cell r="N24">
            <v>1</v>
          </cell>
        </row>
        <row r="25">
          <cell r="M25" t="str">
            <v>Agence_Caribou</v>
          </cell>
          <cell r="N25">
            <v>1</v>
          </cell>
        </row>
        <row r="26">
          <cell r="M26" t="str">
            <v>Agence_CestToutComme</v>
          </cell>
          <cell r="N26">
            <v>1</v>
          </cell>
        </row>
        <row r="27">
          <cell r="M27" t="str">
            <v>Agence_Cobo</v>
          </cell>
          <cell r="N27">
            <v>1</v>
          </cell>
        </row>
        <row r="28">
          <cell r="M28" t="str">
            <v>Agence_CommeToi</v>
          </cell>
          <cell r="N28">
            <v>1</v>
          </cell>
        </row>
        <row r="29">
          <cell r="M29" t="str">
            <v>Agence_Communication</v>
          </cell>
          <cell r="N29">
            <v>1</v>
          </cell>
        </row>
        <row r="30">
          <cell r="M30" t="str">
            <v>Agence_Convergence</v>
          </cell>
          <cell r="N30">
            <v>1</v>
          </cell>
        </row>
        <row r="31">
          <cell r="M31" t="str">
            <v>Agence_Demos</v>
          </cell>
          <cell r="N31">
            <v>1</v>
          </cell>
        </row>
        <row r="32">
          <cell r="M32" t="str">
            <v>Agence_DGGP</v>
          </cell>
          <cell r="N32">
            <v>1</v>
          </cell>
        </row>
        <row r="33">
          <cell r="M33" t="str">
            <v>Agence_EmpreinteConseil</v>
          </cell>
          <cell r="N33">
            <v>1</v>
          </cell>
        </row>
        <row r="34">
          <cell r="M34" t="str">
            <v>Agence_Enchanteurs</v>
          </cell>
          <cell r="N34">
            <v>1</v>
          </cell>
        </row>
        <row r="35">
          <cell r="M35" t="str">
            <v>Agence_Exemplaire</v>
          </cell>
          <cell r="N35">
            <v>1</v>
          </cell>
        </row>
        <row r="36">
          <cell r="M36" t="str">
            <v>Agence_Formagraphique</v>
          </cell>
          <cell r="N36">
            <v>1</v>
          </cell>
        </row>
        <row r="37">
          <cell r="M37" t="str">
            <v>Agence_FortCarre</v>
          </cell>
          <cell r="N37">
            <v>1</v>
          </cell>
        </row>
        <row r="38">
          <cell r="M38" t="str">
            <v>Agence_Holi</v>
          </cell>
          <cell r="N38">
            <v>1</v>
          </cell>
        </row>
        <row r="39">
          <cell r="M39" t="str">
            <v>Agence_Kwadra</v>
          </cell>
          <cell r="N39">
            <v>1</v>
          </cell>
        </row>
        <row r="40">
          <cell r="M40" t="str">
            <v>Agence_Melbourne</v>
          </cell>
          <cell r="N40">
            <v>1</v>
          </cell>
        </row>
        <row r="41">
          <cell r="M41" t="str">
            <v>Agence_MMA_Perlotti</v>
          </cell>
          <cell r="N41">
            <v>1</v>
          </cell>
        </row>
        <row r="42">
          <cell r="M42" t="str">
            <v>Agence_Nocta</v>
          </cell>
          <cell r="N42">
            <v>1</v>
          </cell>
        </row>
        <row r="43">
          <cell r="M43" t="str">
            <v>Agence_Olinda</v>
          </cell>
          <cell r="N43">
            <v>1</v>
          </cell>
        </row>
        <row r="44">
          <cell r="M44" t="str">
            <v>Agence_Promo</v>
          </cell>
          <cell r="N44">
            <v>1</v>
          </cell>
        </row>
        <row r="45">
          <cell r="M45" t="str">
            <v>Agence_Résolution</v>
          </cell>
          <cell r="N45">
            <v>1</v>
          </cell>
        </row>
        <row r="46">
          <cell r="M46" t="str">
            <v>Agence_Serenad</v>
          </cell>
          <cell r="N46">
            <v>1</v>
          </cell>
        </row>
        <row r="47">
          <cell r="M47" t="str">
            <v>Agence_StéphanieCom</v>
          </cell>
          <cell r="N47">
            <v>1</v>
          </cell>
        </row>
        <row r="48">
          <cell r="M48" t="str">
            <v>Agence_Studio201</v>
          </cell>
          <cell r="N48">
            <v>1</v>
          </cell>
        </row>
        <row r="49">
          <cell r="M49" t="str">
            <v>Agence_UPCO</v>
          </cell>
          <cell r="N49">
            <v>1</v>
          </cell>
        </row>
        <row r="50">
          <cell r="M50" t="str">
            <v>Agence1115Concept</v>
          </cell>
          <cell r="N50">
            <v>1</v>
          </cell>
        </row>
        <row r="51">
          <cell r="M51" t="str">
            <v>Agent_Commercial</v>
          </cell>
          <cell r="N51">
            <v>1</v>
          </cell>
        </row>
        <row r="52">
          <cell r="M52" t="str">
            <v>AGG</v>
          </cell>
          <cell r="N52">
            <v>1</v>
          </cell>
        </row>
        <row r="53">
          <cell r="M53" t="str">
            <v>Agir_Peinture</v>
          </cell>
          <cell r="N53">
            <v>1</v>
          </cell>
        </row>
        <row r="54">
          <cell r="M54" t="str">
            <v>Airflex</v>
          </cell>
          <cell r="N54">
            <v>1</v>
          </cell>
        </row>
        <row r="55">
          <cell r="M55" t="str">
            <v>Alban_Cosyn</v>
          </cell>
          <cell r="N55">
            <v>1</v>
          </cell>
        </row>
        <row r="56">
          <cell r="M56" t="str">
            <v>Aliage_PLV</v>
          </cell>
          <cell r="N56">
            <v>1</v>
          </cell>
        </row>
        <row r="57">
          <cell r="M57" t="str">
            <v>Alive</v>
          </cell>
          <cell r="N57">
            <v>1</v>
          </cell>
        </row>
        <row r="58">
          <cell r="M58" t="str">
            <v>All_Contents</v>
          </cell>
          <cell r="N58">
            <v>1</v>
          </cell>
        </row>
        <row r="59">
          <cell r="M59" t="str">
            <v>Alliage_Seiko</v>
          </cell>
          <cell r="N59">
            <v>1</v>
          </cell>
        </row>
        <row r="60">
          <cell r="M60" t="str">
            <v>Allier_Box</v>
          </cell>
          <cell r="N60">
            <v>1</v>
          </cell>
        </row>
        <row r="61">
          <cell r="M61" t="str">
            <v>Alpen_Editions</v>
          </cell>
          <cell r="N61">
            <v>1</v>
          </cell>
        </row>
        <row r="62">
          <cell r="M62" t="str">
            <v>Alpes_Packaging</v>
          </cell>
          <cell r="N62">
            <v>1</v>
          </cell>
        </row>
        <row r="63">
          <cell r="M63" t="str">
            <v>Alphaci</v>
          </cell>
          <cell r="N63">
            <v>1</v>
          </cell>
        </row>
        <row r="64">
          <cell r="M64" t="str">
            <v>Altavia_Aura</v>
          </cell>
          <cell r="N64">
            <v>1</v>
          </cell>
        </row>
        <row r="65">
          <cell r="M65" t="str">
            <v>Altavia_Lille</v>
          </cell>
          <cell r="N65">
            <v>1.1000000000000001</v>
          </cell>
        </row>
        <row r="66">
          <cell r="M66" t="str">
            <v>Altavia_Nantes</v>
          </cell>
          <cell r="N66">
            <v>1.1000000000000001</v>
          </cell>
        </row>
        <row r="67">
          <cell r="M67" t="str">
            <v>Altavia_Paris</v>
          </cell>
          <cell r="N67">
            <v>1.1000000000000001</v>
          </cell>
        </row>
        <row r="68">
          <cell r="M68" t="str">
            <v>Annexe</v>
          </cell>
          <cell r="N68">
            <v>1</v>
          </cell>
        </row>
        <row r="69">
          <cell r="M69" t="str">
            <v>Antalis</v>
          </cell>
          <cell r="N69">
            <v>1</v>
          </cell>
        </row>
        <row r="70">
          <cell r="M70" t="str">
            <v>Antigone</v>
          </cell>
          <cell r="N70">
            <v>1</v>
          </cell>
        </row>
        <row r="71">
          <cell r="M71" t="str">
            <v>Antoine_Spriet</v>
          </cell>
          <cell r="N71">
            <v>1</v>
          </cell>
        </row>
        <row r="72">
          <cell r="M72" t="str">
            <v>APF_FranceHandicap</v>
          </cell>
          <cell r="N72">
            <v>1</v>
          </cell>
        </row>
        <row r="73">
          <cell r="M73" t="str">
            <v>Aprim&amp;Henry</v>
          </cell>
          <cell r="N73">
            <v>1</v>
          </cell>
        </row>
        <row r="74">
          <cell r="M74" t="str">
            <v>Aprime_Act</v>
          </cell>
          <cell r="N74">
            <v>1</v>
          </cell>
        </row>
        <row r="75">
          <cell r="M75" t="str">
            <v>Aqualux</v>
          </cell>
          <cell r="N75">
            <v>1</v>
          </cell>
        </row>
        <row r="76">
          <cell r="M76" t="str">
            <v>Arlon</v>
          </cell>
          <cell r="N76">
            <v>1</v>
          </cell>
        </row>
        <row r="77">
          <cell r="M77" t="str">
            <v>Arsenal</v>
          </cell>
          <cell r="N77">
            <v>1</v>
          </cell>
        </row>
        <row r="78">
          <cell r="M78" t="str">
            <v>Arthémis</v>
          </cell>
          <cell r="N78">
            <v>1</v>
          </cell>
        </row>
        <row r="79">
          <cell r="M79" t="str">
            <v>Arvato</v>
          </cell>
          <cell r="N79">
            <v>1</v>
          </cell>
        </row>
        <row r="80">
          <cell r="M80" t="str">
            <v>Association</v>
          </cell>
          <cell r="N80">
            <v>1</v>
          </cell>
        </row>
        <row r="81">
          <cell r="M81" t="str">
            <v>Association_BeagleDuNord</v>
          </cell>
          <cell r="N81">
            <v>1</v>
          </cell>
        </row>
        <row r="82">
          <cell r="M82" t="str">
            <v>Association_EDLE</v>
          </cell>
          <cell r="N82">
            <v>1</v>
          </cell>
        </row>
        <row r="83">
          <cell r="M83" t="str">
            <v>AsterMod_Cevimod_VeryWear</v>
          </cell>
          <cell r="N83">
            <v>1</v>
          </cell>
        </row>
        <row r="84">
          <cell r="M84" t="str">
            <v>Atelier_Communication</v>
          </cell>
          <cell r="N84">
            <v>1</v>
          </cell>
        </row>
        <row r="85">
          <cell r="M85" t="str">
            <v>Ateliers_Réunis</v>
          </cell>
          <cell r="N85">
            <v>1</v>
          </cell>
        </row>
        <row r="86">
          <cell r="M86" t="str">
            <v>Atlantic</v>
          </cell>
          <cell r="N86">
            <v>1</v>
          </cell>
        </row>
        <row r="87">
          <cell r="M87" t="str">
            <v>Audib</v>
          </cell>
          <cell r="N87">
            <v>1</v>
          </cell>
        </row>
        <row r="88">
          <cell r="M88" t="str">
            <v>Autobrasseur_ComptoirDesFlandres_Afchain</v>
          </cell>
          <cell r="N88">
            <v>1</v>
          </cell>
        </row>
        <row r="89">
          <cell r="M89" t="str">
            <v>Avek</v>
          </cell>
          <cell r="N89">
            <v>1</v>
          </cell>
        </row>
        <row r="90">
          <cell r="M90" t="str">
            <v>Axel-L.Com</v>
          </cell>
          <cell r="N90">
            <v>1</v>
          </cell>
        </row>
        <row r="91">
          <cell r="M91" t="str">
            <v>Axiom_Graphic</v>
          </cell>
          <cell r="N91">
            <v>1</v>
          </cell>
        </row>
        <row r="92">
          <cell r="M92" t="str">
            <v>AZ_Impression</v>
          </cell>
          <cell r="N92">
            <v>1</v>
          </cell>
        </row>
        <row r="93">
          <cell r="M93" t="str">
            <v>AzcompubEnseigne</v>
          </cell>
          <cell r="N93">
            <v>1</v>
          </cell>
        </row>
        <row r="94">
          <cell r="M94" t="str">
            <v>Azurpartner</v>
          </cell>
          <cell r="N94">
            <v>1</v>
          </cell>
        </row>
        <row r="95">
          <cell r="M95" t="str">
            <v>B-AD</v>
          </cell>
          <cell r="N95">
            <v>1</v>
          </cell>
        </row>
        <row r="96">
          <cell r="M96" t="str">
            <v>Bahia</v>
          </cell>
          <cell r="N96">
            <v>1</v>
          </cell>
        </row>
        <row r="97">
          <cell r="M97" t="str">
            <v>BAM</v>
          </cell>
          <cell r="N97">
            <v>1</v>
          </cell>
        </row>
        <row r="98">
          <cell r="M98" t="str">
            <v>Bardahl</v>
          </cell>
          <cell r="N98">
            <v>1</v>
          </cell>
        </row>
        <row r="99">
          <cell r="M99" t="str">
            <v>BBGR</v>
          </cell>
          <cell r="N99">
            <v>1</v>
          </cell>
        </row>
        <row r="100">
          <cell r="M100" t="str">
            <v>BBI</v>
          </cell>
          <cell r="N100">
            <v>1</v>
          </cell>
        </row>
        <row r="101">
          <cell r="M101" t="str">
            <v>BC_Atelier</v>
          </cell>
          <cell r="N101">
            <v>1</v>
          </cell>
        </row>
        <row r="102">
          <cell r="M102" t="str">
            <v>Bcomb</v>
          </cell>
          <cell r="N102">
            <v>1</v>
          </cell>
        </row>
        <row r="103">
          <cell r="M103" t="str">
            <v>Beaulieu</v>
          </cell>
          <cell r="N103">
            <v>1</v>
          </cell>
        </row>
        <row r="104">
          <cell r="M104" t="str">
            <v>BeauSoleil</v>
          </cell>
          <cell r="N104">
            <v>1</v>
          </cell>
        </row>
        <row r="105">
          <cell r="M105" t="str">
            <v>Beauvoir_Organisation</v>
          </cell>
          <cell r="N105">
            <v>1</v>
          </cell>
        </row>
        <row r="106">
          <cell r="M106" t="str">
            <v>BectonDickinson</v>
          </cell>
          <cell r="N106">
            <v>1</v>
          </cell>
        </row>
        <row r="107">
          <cell r="M107" t="str">
            <v>Beecom</v>
          </cell>
          <cell r="N107">
            <v>1</v>
          </cell>
        </row>
        <row r="108">
          <cell r="M108" t="str">
            <v>Be-Here</v>
          </cell>
          <cell r="N108">
            <v>1</v>
          </cell>
        </row>
        <row r="109">
          <cell r="M109" t="str">
            <v>Benjee</v>
          </cell>
          <cell r="N109">
            <v>1</v>
          </cell>
        </row>
        <row r="110">
          <cell r="M110" t="str">
            <v>BenoitCollet_Illustrations</v>
          </cell>
          <cell r="N110">
            <v>1</v>
          </cell>
        </row>
        <row r="111">
          <cell r="M111" t="str">
            <v>Bernard</v>
          </cell>
          <cell r="N111">
            <v>1</v>
          </cell>
        </row>
        <row r="112">
          <cell r="M112" t="str">
            <v>B-EstCom</v>
          </cell>
          <cell r="N112">
            <v>1</v>
          </cell>
        </row>
        <row r="113">
          <cell r="M113" t="str">
            <v>BezinHaller</v>
          </cell>
          <cell r="N113">
            <v>1</v>
          </cell>
        </row>
        <row r="114">
          <cell r="M114" t="str">
            <v>Billyblet</v>
          </cell>
          <cell r="N114">
            <v>1</v>
          </cell>
        </row>
        <row r="115">
          <cell r="M115" t="str">
            <v>Biotissus</v>
          </cell>
          <cell r="N115">
            <v>1</v>
          </cell>
        </row>
        <row r="116">
          <cell r="M116" t="str">
            <v>Bissain</v>
          </cell>
          <cell r="N116">
            <v>1</v>
          </cell>
        </row>
        <row r="117">
          <cell r="M117" t="str">
            <v>Blue Bees</v>
          </cell>
          <cell r="N117">
            <v>1</v>
          </cell>
        </row>
        <row r="118">
          <cell r="M118" t="str">
            <v>BMI</v>
          </cell>
          <cell r="N118">
            <v>1</v>
          </cell>
        </row>
        <row r="119">
          <cell r="M119" t="str">
            <v>BMW_Evasion</v>
          </cell>
          <cell r="N119">
            <v>1</v>
          </cell>
        </row>
        <row r="120">
          <cell r="M120" t="str">
            <v>Bo_Metal</v>
          </cell>
          <cell r="N120">
            <v>1</v>
          </cell>
        </row>
        <row r="121">
          <cell r="M121" t="str">
            <v>BoîteAMeuh</v>
          </cell>
          <cell r="N121">
            <v>1</v>
          </cell>
        </row>
        <row r="122">
          <cell r="M122" t="str">
            <v>Boutak</v>
          </cell>
          <cell r="N122">
            <v>1</v>
          </cell>
        </row>
        <row r="123">
          <cell r="M123" t="str">
            <v>Box_Stockage</v>
          </cell>
          <cell r="N123">
            <v>1</v>
          </cell>
        </row>
        <row r="124">
          <cell r="M124" t="str">
            <v>Brailly</v>
          </cell>
          <cell r="N124">
            <v>1</v>
          </cell>
        </row>
        <row r="125">
          <cell r="M125" t="str">
            <v>Brands_At_Work</v>
          </cell>
          <cell r="N125">
            <v>1</v>
          </cell>
        </row>
        <row r="126">
          <cell r="M126" t="str">
            <v>Brasserie_Bourganel</v>
          </cell>
          <cell r="N126">
            <v>1</v>
          </cell>
        </row>
        <row r="127">
          <cell r="M127" t="str">
            <v>Brasserie_Duyck</v>
          </cell>
          <cell r="N127">
            <v>1</v>
          </cell>
        </row>
        <row r="128">
          <cell r="M128" t="str">
            <v>Brasserie_LeMazot</v>
          </cell>
          <cell r="N128">
            <v>1</v>
          </cell>
        </row>
        <row r="129">
          <cell r="M129" t="str">
            <v>Brasserie_Mai</v>
          </cell>
          <cell r="N129">
            <v>1</v>
          </cell>
        </row>
        <row r="130">
          <cell r="M130" t="str">
            <v>Brasserie-StSylvestre</v>
          </cell>
          <cell r="N130">
            <v>1</v>
          </cell>
        </row>
        <row r="131">
          <cell r="M131" t="str">
            <v>Bricoman</v>
          </cell>
          <cell r="N131">
            <v>1</v>
          </cell>
        </row>
        <row r="132">
          <cell r="M132" t="str">
            <v>Broudehoux-Boisse</v>
          </cell>
          <cell r="N132">
            <v>1</v>
          </cell>
        </row>
        <row r="133">
          <cell r="M133" t="str">
            <v>BSM</v>
          </cell>
          <cell r="N133">
            <v>1</v>
          </cell>
        </row>
        <row r="134">
          <cell r="M134" t="str">
            <v>C&amp;C</v>
          </cell>
          <cell r="N134">
            <v>1</v>
          </cell>
        </row>
        <row r="135">
          <cell r="M135" t="str">
            <v>Cairn</v>
          </cell>
          <cell r="N135">
            <v>1</v>
          </cell>
        </row>
        <row r="136">
          <cell r="M136" t="str">
            <v>Caldo</v>
          </cell>
          <cell r="N136">
            <v>1</v>
          </cell>
        </row>
        <row r="137">
          <cell r="M137" t="str">
            <v>Camaïeu</v>
          </cell>
          <cell r="N137">
            <v>1</v>
          </cell>
        </row>
        <row r="138">
          <cell r="M138" t="str">
            <v>Cameleon_Graphique</v>
          </cell>
          <cell r="N138">
            <v>1</v>
          </cell>
        </row>
        <row r="139">
          <cell r="M139" t="str">
            <v>Campa</v>
          </cell>
          <cell r="N139">
            <v>1</v>
          </cell>
        </row>
        <row r="140">
          <cell r="M140" t="str">
            <v>Canon_Bretagne</v>
          </cell>
          <cell r="N140">
            <v>1</v>
          </cell>
        </row>
        <row r="141">
          <cell r="M141" t="str">
            <v>Cappelle</v>
          </cell>
          <cell r="N141">
            <v>1</v>
          </cell>
        </row>
        <row r="142">
          <cell r="M142" t="str">
            <v>Captimize</v>
          </cell>
          <cell r="N142">
            <v>1</v>
          </cell>
        </row>
        <row r="143">
          <cell r="M143" t="str">
            <v>Caractère</v>
          </cell>
          <cell r="N143">
            <v>1</v>
          </cell>
        </row>
        <row r="144">
          <cell r="M144" t="str">
            <v>Caramba</v>
          </cell>
          <cell r="N144">
            <v>1</v>
          </cell>
        </row>
        <row r="145">
          <cell r="M145" t="str">
            <v>Carmignani</v>
          </cell>
          <cell r="N145">
            <v>1</v>
          </cell>
        </row>
        <row r="146">
          <cell r="M146" t="str">
            <v>Carpolish</v>
          </cell>
          <cell r="N146">
            <v>1</v>
          </cell>
        </row>
        <row r="147">
          <cell r="M147" t="str">
            <v>Carte_Blanche</v>
          </cell>
          <cell r="N147">
            <v>1</v>
          </cell>
        </row>
        <row r="148">
          <cell r="M148" t="str">
            <v>Cartonnages_Gaultier</v>
          </cell>
          <cell r="N148">
            <v>1</v>
          </cell>
        </row>
        <row r="149">
          <cell r="M149" t="str">
            <v>Casado</v>
          </cell>
          <cell r="N149">
            <v>1</v>
          </cell>
        </row>
        <row r="150">
          <cell r="M150" t="str">
            <v>Cedres_Industrie</v>
          </cell>
          <cell r="N150">
            <v>1</v>
          </cell>
        </row>
        <row r="151">
          <cell r="M151" t="str">
            <v>Cenpac</v>
          </cell>
          <cell r="N151">
            <v>1</v>
          </cell>
        </row>
        <row r="152">
          <cell r="M152" t="str">
            <v>Cerecare</v>
          </cell>
          <cell r="N152">
            <v>1</v>
          </cell>
        </row>
        <row r="153">
          <cell r="M153" t="str">
            <v>CGI_Finance</v>
          </cell>
          <cell r="N153">
            <v>1</v>
          </cell>
        </row>
        <row r="154">
          <cell r="M154" t="str">
            <v>Chamax</v>
          </cell>
          <cell r="N154">
            <v>1.1000000000000001</v>
          </cell>
        </row>
        <row r="155">
          <cell r="M155" t="str">
            <v>Champagne_Creation</v>
          </cell>
          <cell r="N155">
            <v>1</v>
          </cell>
        </row>
        <row r="156">
          <cell r="M156" t="str">
            <v>Chaumeil</v>
          </cell>
          <cell r="N156">
            <v>1</v>
          </cell>
        </row>
        <row r="157">
          <cell r="M157" t="str">
            <v>Chemica</v>
          </cell>
          <cell r="N157">
            <v>1</v>
          </cell>
        </row>
        <row r="158">
          <cell r="M158" t="str">
            <v>Chocmod</v>
          </cell>
          <cell r="N158">
            <v>1</v>
          </cell>
        </row>
        <row r="159">
          <cell r="M159" t="str">
            <v>Chœurs_des_Femmes</v>
          </cell>
          <cell r="N159">
            <v>1</v>
          </cell>
        </row>
        <row r="160">
          <cell r="M160" t="str">
            <v>Chrystal_ProdLive</v>
          </cell>
          <cell r="N160">
            <v>1</v>
          </cell>
        </row>
        <row r="161">
          <cell r="M161" t="str">
            <v>CIE_Europe</v>
          </cell>
          <cell r="N161">
            <v>1</v>
          </cell>
        </row>
        <row r="162">
          <cell r="M162" t="str">
            <v>Cipette</v>
          </cell>
          <cell r="N162">
            <v>1</v>
          </cell>
        </row>
        <row r="163">
          <cell r="M163" t="str">
            <v>CIPS</v>
          </cell>
          <cell r="N163">
            <v>1</v>
          </cell>
        </row>
        <row r="164">
          <cell r="M164" t="str">
            <v>Ckale</v>
          </cell>
          <cell r="N164">
            <v>1</v>
          </cell>
        </row>
        <row r="165">
          <cell r="M165" t="str">
            <v>Club_Foot_Bousbecque</v>
          </cell>
          <cell r="N165">
            <v>1</v>
          </cell>
        </row>
        <row r="166">
          <cell r="M166" t="str">
            <v>CMA</v>
          </cell>
          <cell r="N166">
            <v>1</v>
          </cell>
        </row>
        <row r="167">
          <cell r="M167" t="str">
            <v>CNC</v>
          </cell>
          <cell r="N167">
            <v>1</v>
          </cell>
        </row>
        <row r="168">
          <cell r="M168" t="str">
            <v>Cocktail-I</v>
          </cell>
          <cell r="N168">
            <v>1</v>
          </cell>
        </row>
        <row r="169">
          <cell r="M169" t="str">
            <v>Coiffure_Visage</v>
          </cell>
          <cell r="N169">
            <v>1</v>
          </cell>
        </row>
        <row r="170">
          <cell r="M170" t="str">
            <v>Collonil</v>
          </cell>
          <cell r="N170">
            <v>1</v>
          </cell>
        </row>
        <row r="171">
          <cell r="M171" t="str">
            <v>Comeback</v>
          </cell>
          <cell r="N171">
            <v>1</v>
          </cell>
        </row>
        <row r="172">
          <cell r="M172" t="str">
            <v>Comegraph</v>
          </cell>
          <cell r="N172">
            <v>1</v>
          </cell>
        </row>
        <row r="173">
          <cell r="M173" t="str">
            <v>Comete</v>
          </cell>
          <cell r="N173">
            <v>1</v>
          </cell>
        </row>
        <row r="174">
          <cell r="M174" t="str">
            <v>Commercialement</v>
          </cell>
          <cell r="N174">
            <v>1</v>
          </cell>
        </row>
        <row r="175">
          <cell r="M175" t="str">
            <v>CommeSurDesRoulettes</v>
          </cell>
          <cell r="N175">
            <v>1</v>
          </cell>
        </row>
        <row r="176">
          <cell r="M176" t="str">
            <v>ComplexEurope</v>
          </cell>
          <cell r="N176">
            <v>1</v>
          </cell>
        </row>
        <row r="177">
          <cell r="M177" t="str">
            <v>Concilio</v>
          </cell>
          <cell r="N177">
            <v>1</v>
          </cell>
        </row>
        <row r="178">
          <cell r="M178" t="str">
            <v>Confiserie_Afchain</v>
          </cell>
          <cell r="N178">
            <v>1</v>
          </cell>
        </row>
        <row r="179">
          <cell r="M179" t="str">
            <v>Coprovisor</v>
          </cell>
          <cell r="N179">
            <v>1</v>
          </cell>
        </row>
        <row r="180">
          <cell r="M180" t="str">
            <v>Cornelius</v>
          </cell>
          <cell r="N180">
            <v>1</v>
          </cell>
        </row>
        <row r="181">
          <cell r="M181" t="str">
            <v>Courrier_Aisne</v>
          </cell>
          <cell r="N181">
            <v>1</v>
          </cell>
        </row>
        <row r="182">
          <cell r="M182" t="str">
            <v>Cousin_Trestec</v>
          </cell>
          <cell r="N182">
            <v>1</v>
          </cell>
        </row>
        <row r="183">
          <cell r="M183" t="str">
            <v>CRBS</v>
          </cell>
          <cell r="N183">
            <v>1</v>
          </cell>
        </row>
        <row r="184">
          <cell r="M184" t="str">
            <v>Creaset</v>
          </cell>
          <cell r="N184">
            <v>1</v>
          </cell>
        </row>
        <row r="185">
          <cell r="M185" t="str">
            <v>CreaStyle</v>
          </cell>
          <cell r="N185">
            <v>1</v>
          </cell>
        </row>
        <row r="186">
          <cell r="M186" t="str">
            <v>Creavi</v>
          </cell>
          <cell r="N186">
            <v>1</v>
          </cell>
        </row>
        <row r="187">
          <cell r="M187" t="str">
            <v>Crédit_Agricole</v>
          </cell>
          <cell r="N187">
            <v>1</v>
          </cell>
        </row>
        <row r="188">
          <cell r="M188" t="str">
            <v>CRM_Investis</v>
          </cell>
          <cell r="N188">
            <v>1</v>
          </cell>
        </row>
        <row r="189">
          <cell r="M189" t="str">
            <v>Cusin</v>
          </cell>
          <cell r="N189">
            <v>1</v>
          </cell>
        </row>
        <row r="190">
          <cell r="M190" t="str">
            <v>Cutile</v>
          </cell>
          <cell r="N190">
            <v>1</v>
          </cell>
        </row>
        <row r="191">
          <cell r="M191" t="str">
            <v>Daco</v>
          </cell>
          <cell r="N191">
            <v>1</v>
          </cell>
        </row>
        <row r="192">
          <cell r="M192" t="str">
            <v>Damart</v>
          </cell>
          <cell r="N192">
            <v>1</v>
          </cell>
        </row>
        <row r="193">
          <cell r="M193" t="str">
            <v>Dardel</v>
          </cell>
          <cell r="N193">
            <v>1</v>
          </cell>
        </row>
        <row r="194">
          <cell r="M194" t="str">
            <v>De Signes Associés</v>
          </cell>
          <cell r="N194">
            <v>1</v>
          </cell>
        </row>
        <row r="195">
          <cell r="M195" t="str">
            <v>Debora_Georget</v>
          </cell>
          <cell r="N195">
            <v>1</v>
          </cell>
        </row>
        <row r="196">
          <cell r="M196" t="str">
            <v>Decoplus</v>
          </cell>
          <cell r="N196">
            <v>1</v>
          </cell>
        </row>
        <row r="197">
          <cell r="M197" t="str">
            <v>Delfly</v>
          </cell>
          <cell r="N197">
            <v>1</v>
          </cell>
        </row>
        <row r="198">
          <cell r="M198" t="str">
            <v>Delta</v>
          </cell>
          <cell r="N198">
            <v>1</v>
          </cell>
        </row>
        <row r="199">
          <cell r="M199" t="str">
            <v>Dermapositive</v>
          </cell>
          <cell r="N199">
            <v>1</v>
          </cell>
        </row>
        <row r="200">
          <cell r="M200" t="str">
            <v>Desenfans</v>
          </cell>
          <cell r="N200">
            <v>1</v>
          </cell>
        </row>
        <row r="201">
          <cell r="M201" t="str">
            <v>Despeghel</v>
          </cell>
          <cell r="N201">
            <v>1</v>
          </cell>
        </row>
        <row r="202">
          <cell r="M202" t="str">
            <v>Deux-ponts</v>
          </cell>
          <cell r="N202">
            <v>1</v>
          </cell>
        </row>
        <row r="203">
          <cell r="M203" t="str">
            <v>DG_Crea</v>
          </cell>
          <cell r="N203">
            <v>1</v>
          </cell>
        </row>
        <row r="204">
          <cell r="M204" t="str">
            <v>Diazo_Communication</v>
          </cell>
          <cell r="N204">
            <v>1</v>
          </cell>
        </row>
        <row r="205">
          <cell r="M205" t="str">
            <v>Dickson</v>
          </cell>
          <cell r="N205">
            <v>1</v>
          </cell>
        </row>
        <row r="206">
          <cell r="M206" t="str">
            <v>Diezz</v>
          </cell>
          <cell r="N206">
            <v>1</v>
          </cell>
        </row>
        <row r="207">
          <cell r="M207" t="str">
            <v>DiffusionsAromatiques</v>
          </cell>
          <cell r="N207">
            <v>1</v>
          </cell>
        </row>
        <row r="208">
          <cell r="M208" t="str">
            <v>DirectImpression</v>
          </cell>
          <cell r="N208">
            <v>1</v>
          </cell>
        </row>
        <row r="209">
          <cell r="M209" t="str">
            <v>Distillerie_du_Morbihan</v>
          </cell>
          <cell r="N209">
            <v>1</v>
          </cell>
        </row>
        <row r="210">
          <cell r="M210" t="str">
            <v>Districlos</v>
          </cell>
          <cell r="N210">
            <v>1</v>
          </cell>
        </row>
        <row r="211">
          <cell r="M211" t="str">
            <v>Dizisoft</v>
          </cell>
          <cell r="N211">
            <v>1</v>
          </cell>
        </row>
        <row r="212">
          <cell r="M212" t="str">
            <v>Djeco</v>
          </cell>
          <cell r="N212">
            <v>1</v>
          </cell>
        </row>
        <row r="213">
          <cell r="M213" t="str">
            <v>DK_Group</v>
          </cell>
          <cell r="N213">
            <v>1</v>
          </cell>
        </row>
        <row r="214">
          <cell r="M214" t="str">
            <v>DocSourcing</v>
          </cell>
          <cell r="N214">
            <v>1</v>
          </cell>
        </row>
        <row r="215">
          <cell r="M215" t="str">
            <v>Dolographic</v>
          </cell>
          <cell r="N215">
            <v>1</v>
          </cell>
        </row>
        <row r="216">
          <cell r="M216" t="str">
            <v>Dopresto</v>
          </cell>
          <cell r="N216">
            <v>1</v>
          </cell>
        </row>
        <row r="217">
          <cell r="M217" t="str">
            <v>DTSigns</v>
          </cell>
          <cell r="N217">
            <v>1</v>
          </cell>
        </row>
        <row r="218">
          <cell r="M218" t="str">
            <v>Dumortier</v>
          </cell>
          <cell r="N218">
            <v>1</v>
          </cell>
        </row>
        <row r="219">
          <cell r="M219" t="str">
            <v>DVDWEB59</v>
          </cell>
          <cell r="N219">
            <v>1</v>
          </cell>
        </row>
        <row r="220">
          <cell r="M220" t="str">
            <v>EA Illustrateur</v>
          </cell>
          <cell r="N220">
            <v>1</v>
          </cell>
        </row>
        <row r="221">
          <cell r="M221" t="str">
            <v>Easily_Havet_Concept</v>
          </cell>
          <cell r="N221">
            <v>1</v>
          </cell>
        </row>
        <row r="222">
          <cell r="M222" t="str">
            <v>EasyCom</v>
          </cell>
          <cell r="N222">
            <v>1</v>
          </cell>
        </row>
        <row r="223">
          <cell r="M223" t="str">
            <v>EclairPrym</v>
          </cell>
          <cell r="N223">
            <v>1</v>
          </cell>
        </row>
        <row r="224">
          <cell r="M224" t="str">
            <v>Ecole_Iscid_Co</v>
          </cell>
          <cell r="N224">
            <v>1</v>
          </cell>
        </row>
        <row r="225">
          <cell r="M225" t="str">
            <v>Ecole_NotreDame_Ardres</v>
          </cell>
          <cell r="N225">
            <v>1</v>
          </cell>
        </row>
        <row r="226">
          <cell r="M226" t="str">
            <v>EcoSport</v>
          </cell>
          <cell r="N226">
            <v>1</v>
          </cell>
        </row>
        <row r="227">
          <cell r="M227" t="str">
            <v>Edem</v>
          </cell>
          <cell r="N227">
            <v>1</v>
          </cell>
        </row>
        <row r="228">
          <cell r="M228" t="str">
            <v>Edhec</v>
          </cell>
          <cell r="N228">
            <v>1</v>
          </cell>
        </row>
        <row r="229">
          <cell r="M229" t="str">
            <v>Edilivre</v>
          </cell>
          <cell r="N229">
            <v>1</v>
          </cell>
        </row>
        <row r="230">
          <cell r="M230" t="str">
            <v>Edipole</v>
          </cell>
          <cell r="N230">
            <v>1</v>
          </cell>
        </row>
        <row r="231">
          <cell r="M231" t="str">
            <v>Edisac</v>
          </cell>
          <cell r="N231">
            <v>1</v>
          </cell>
        </row>
        <row r="232">
          <cell r="M232" t="str">
            <v>Editions_OL</v>
          </cell>
          <cell r="N232">
            <v>1</v>
          </cell>
        </row>
        <row r="233">
          <cell r="M233" t="str">
            <v>ELEHCIM_Impression</v>
          </cell>
          <cell r="N233">
            <v>1</v>
          </cell>
        </row>
        <row r="234">
          <cell r="M234" t="str">
            <v>Elena_Blanquart</v>
          </cell>
          <cell r="N234">
            <v>1</v>
          </cell>
        </row>
        <row r="235">
          <cell r="M235" t="str">
            <v>ELPV</v>
          </cell>
          <cell r="N235">
            <v>1</v>
          </cell>
        </row>
        <row r="236">
          <cell r="M236" t="str">
            <v>Embaly</v>
          </cell>
          <cell r="N236">
            <v>1</v>
          </cell>
        </row>
        <row r="237">
          <cell r="M237" t="str">
            <v>Energie_Citoyenne</v>
          </cell>
          <cell r="N237">
            <v>1</v>
          </cell>
        </row>
        <row r="238">
          <cell r="M238" t="str">
            <v>Entrée_Public</v>
          </cell>
          <cell r="N238">
            <v>1</v>
          </cell>
        </row>
        <row r="239">
          <cell r="M239" t="str">
            <v>Eprocfactory</v>
          </cell>
          <cell r="N239">
            <v>1</v>
          </cell>
        </row>
        <row r="240">
          <cell r="M240" t="str">
            <v>ES_Print</v>
          </cell>
          <cell r="N240">
            <v>1</v>
          </cell>
        </row>
        <row r="241">
          <cell r="M241" t="str">
            <v>Esprit_Barbecue</v>
          </cell>
          <cell r="N241">
            <v>1</v>
          </cell>
        </row>
        <row r="242">
          <cell r="M242" t="str">
            <v>EspritDEquipe</v>
          </cell>
          <cell r="N242">
            <v>1</v>
          </cell>
        </row>
        <row r="243">
          <cell r="M243" t="str">
            <v>Essilor</v>
          </cell>
          <cell r="N243">
            <v>1</v>
          </cell>
        </row>
        <row r="244">
          <cell r="M244" t="str">
            <v>Ethap</v>
          </cell>
          <cell r="N244">
            <v>1</v>
          </cell>
        </row>
        <row r="245">
          <cell r="M245" t="str">
            <v>Etigo</v>
          </cell>
          <cell r="N245">
            <v>1</v>
          </cell>
        </row>
        <row r="246">
          <cell r="M246" t="str">
            <v>Exprint_Solutions</v>
          </cell>
          <cell r="N246">
            <v>1</v>
          </cell>
        </row>
        <row r="247">
          <cell r="M247" t="str">
            <v>Exupro</v>
          </cell>
          <cell r="N247">
            <v>1</v>
          </cell>
        </row>
        <row r="248">
          <cell r="M248" t="str">
            <v>FamillesDeFranceNord</v>
          </cell>
          <cell r="N248">
            <v>1</v>
          </cell>
        </row>
        <row r="249">
          <cell r="M249" t="str">
            <v>FCH</v>
          </cell>
          <cell r="N249">
            <v>1</v>
          </cell>
        </row>
        <row r="250">
          <cell r="M250" t="str">
            <v>Fichet</v>
          </cell>
          <cell r="N250">
            <v>1</v>
          </cell>
        </row>
        <row r="251">
          <cell r="M251" t="str">
            <v>Fiducial</v>
          </cell>
          <cell r="N251">
            <v>1</v>
          </cell>
        </row>
        <row r="252">
          <cell r="M252" t="str">
            <v>Finition</v>
          </cell>
          <cell r="N252">
            <v>1</v>
          </cell>
        </row>
        <row r="253">
          <cell r="M253" t="str">
            <v>Finot_Poleposition</v>
          </cell>
          <cell r="N253">
            <v>1</v>
          </cell>
        </row>
        <row r="254">
          <cell r="M254" t="str">
            <v>Forbo</v>
          </cell>
          <cell r="N254">
            <v>1</v>
          </cell>
        </row>
        <row r="255">
          <cell r="M255" t="str">
            <v>Forbo_Hollande</v>
          </cell>
          <cell r="N255">
            <v>1</v>
          </cell>
        </row>
        <row r="256">
          <cell r="M256" t="str">
            <v>Forestia_Group</v>
          </cell>
          <cell r="N256">
            <v>1</v>
          </cell>
        </row>
        <row r="257">
          <cell r="M257" t="str">
            <v>FOT</v>
          </cell>
          <cell r="N257">
            <v>1</v>
          </cell>
        </row>
        <row r="258">
          <cell r="M258" t="str">
            <v>France_Alarme</v>
          </cell>
          <cell r="N258">
            <v>1</v>
          </cell>
        </row>
        <row r="259">
          <cell r="M259" t="str">
            <v>France_Macarons</v>
          </cell>
          <cell r="N259">
            <v>1</v>
          </cell>
        </row>
        <row r="260">
          <cell r="M260" t="str">
            <v>France_Neir</v>
          </cell>
          <cell r="N260">
            <v>1</v>
          </cell>
        </row>
        <row r="261">
          <cell r="M261" t="str">
            <v>France_Nuanciers</v>
          </cell>
          <cell r="N261">
            <v>1</v>
          </cell>
        </row>
        <row r="262">
          <cell r="M262" t="str">
            <v>France_Produits</v>
          </cell>
          <cell r="N262">
            <v>1</v>
          </cell>
        </row>
        <row r="263">
          <cell r="M263" t="str">
            <v>FXM_Events</v>
          </cell>
          <cell r="N263">
            <v>1</v>
          </cell>
        </row>
        <row r="264">
          <cell r="M264" t="str">
            <v>Gaël5à7</v>
          </cell>
          <cell r="N264">
            <v>1</v>
          </cell>
        </row>
        <row r="265">
          <cell r="M265" t="str">
            <v>Garage_RenaultDalle</v>
          </cell>
          <cell r="N265">
            <v>1</v>
          </cell>
        </row>
        <row r="266">
          <cell r="M266" t="str">
            <v>GDS</v>
          </cell>
          <cell r="N266">
            <v>1</v>
          </cell>
        </row>
        <row r="267">
          <cell r="M267" t="str">
            <v>Gentilhomme</v>
          </cell>
          <cell r="N267">
            <v>1</v>
          </cell>
        </row>
        <row r="268">
          <cell r="M268" t="str">
            <v>Gerflor</v>
          </cell>
          <cell r="N268">
            <v>1</v>
          </cell>
        </row>
        <row r="269">
          <cell r="M269" t="str">
            <v>Gervais_Cotteret</v>
          </cell>
          <cell r="N269">
            <v>1</v>
          </cell>
        </row>
        <row r="270">
          <cell r="M270" t="str">
            <v>GINJU</v>
          </cell>
          <cell r="N270">
            <v>1</v>
          </cell>
        </row>
        <row r="271">
          <cell r="M271" t="str">
            <v>GLE_Printing</v>
          </cell>
          <cell r="N271">
            <v>1</v>
          </cell>
        </row>
        <row r="272">
          <cell r="M272" t="str">
            <v>Global_Print_Nord</v>
          </cell>
          <cell r="N272">
            <v>1</v>
          </cell>
        </row>
        <row r="273">
          <cell r="M273" t="str">
            <v>Godefroy Architecte Entreprise</v>
          </cell>
          <cell r="N273">
            <v>1</v>
          </cell>
        </row>
        <row r="274">
          <cell r="M274" t="str">
            <v>Goulot</v>
          </cell>
          <cell r="N274">
            <v>1</v>
          </cell>
        </row>
        <row r="275">
          <cell r="M275" t="str">
            <v>GPK</v>
          </cell>
          <cell r="N275">
            <v>1</v>
          </cell>
        </row>
        <row r="276">
          <cell r="M276" t="str">
            <v>Graine_De_Malice</v>
          </cell>
          <cell r="N276">
            <v>1</v>
          </cell>
        </row>
        <row r="277">
          <cell r="M277" t="str">
            <v>GranvilPub</v>
          </cell>
          <cell r="N277">
            <v>1</v>
          </cell>
        </row>
        <row r="278">
          <cell r="M278" t="str">
            <v>Graph1Prim</v>
          </cell>
          <cell r="N278">
            <v>1</v>
          </cell>
        </row>
        <row r="279">
          <cell r="M279" t="str">
            <v>Graphic_Swing</v>
          </cell>
          <cell r="N279">
            <v>1</v>
          </cell>
        </row>
        <row r="280">
          <cell r="M280" t="str">
            <v>GraphiProd</v>
          </cell>
          <cell r="N280">
            <v>1</v>
          </cell>
        </row>
        <row r="281">
          <cell r="M281" t="str">
            <v>Graphord</v>
          </cell>
          <cell r="N281">
            <v>1</v>
          </cell>
        </row>
        <row r="282">
          <cell r="M282" t="str">
            <v>Gresset_Rault</v>
          </cell>
          <cell r="N282">
            <v>1</v>
          </cell>
        </row>
        <row r="283">
          <cell r="M283" t="str">
            <v>Grimme</v>
          </cell>
          <cell r="N283">
            <v>1</v>
          </cell>
        </row>
        <row r="284">
          <cell r="M284" t="str">
            <v>Groupe_Chaumeil</v>
          </cell>
          <cell r="N284">
            <v>1</v>
          </cell>
        </row>
        <row r="285">
          <cell r="M285" t="str">
            <v>Groupe_Dugardin</v>
          </cell>
          <cell r="N285">
            <v>1</v>
          </cell>
        </row>
        <row r="286">
          <cell r="M286" t="str">
            <v>Groupe_Vega</v>
          </cell>
          <cell r="N286">
            <v>1</v>
          </cell>
        </row>
        <row r="287">
          <cell r="M287" t="str">
            <v>Gruhier</v>
          </cell>
          <cell r="N287">
            <v>1</v>
          </cell>
        </row>
        <row r="288">
          <cell r="M288" t="str">
            <v>GTE_Conseil</v>
          </cell>
          <cell r="N288">
            <v>1</v>
          </cell>
        </row>
        <row r="289">
          <cell r="M289" t="str">
            <v>Guigon</v>
          </cell>
          <cell r="N289">
            <v>1</v>
          </cell>
        </row>
        <row r="290">
          <cell r="M290" t="str">
            <v>Guillermault</v>
          </cell>
          <cell r="N290">
            <v>1</v>
          </cell>
        </row>
        <row r="291">
          <cell r="M291" t="str">
            <v>Gutenberg</v>
          </cell>
          <cell r="N291">
            <v>1.1000000000000001</v>
          </cell>
        </row>
        <row r="292">
          <cell r="M292" t="str">
            <v>Habitat</v>
          </cell>
          <cell r="N292">
            <v>1</v>
          </cell>
        </row>
        <row r="293">
          <cell r="M293" t="str">
            <v>Haghebaert_Fremaux</v>
          </cell>
          <cell r="N293">
            <v>1</v>
          </cell>
        </row>
        <row r="294">
          <cell r="M294" t="str">
            <v>Hexis</v>
          </cell>
          <cell r="N294">
            <v>1.06</v>
          </cell>
        </row>
        <row r="295">
          <cell r="M295" t="str">
            <v>Hey_OH</v>
          </cell>
          <cell r="N295">
            <v>1</v>
          </cell>
        </row>
        <row r="296">
          <cell r="M296" t="str">
            <v>HH_Global</v>
          </cell>
          <cell r="N296">
            <v>1.1000000000000001</v>
          </cell>
        </row>
        <row r="297">
          <cell r="M297" t="str">
            <v>Humaprint</v>
          </cell>
          <cell r="N297">
            <v>1</v>
          </cell>
        </row>
        <row r="298">
          <cell r="M298" t="str">
            <v>Hungry_Monkey_Games</v>
          </cell>
          <cell r="N298">
            <v>1</v>
          </cell>
        </row>
        <row r="299">
          <cell r="M299" t="str">
            <v>Ici_Impression</v>
          </cell>
          <cell r="N299">
            <v>1</v>
          </cell>
        </row>
        <row r="300">
          <cell r="M300" t="str">
            <v>IDM_Com</v>
          </cell>
          <cell r="N300">
            <v>1</v>
          </cell>
        </row>
        <row r="301">
          <cell r="M301" t="str">
            <v>IGEPA</v>
          </cell>
          <cell r="N301">
            <v>1</v>
          </cell>
        </row>
        <row r="302">
          <cell r="M302" t="str">
            <v>Igo_Objet_Pub</v>
          </cell>
          <cell r="N302">
            <v>1</v>
          </cell>
        </row>
        <row r="303">
          <cell r="M303" t="str">
            <v>Ilevia-Keolis</v>
          </cell>
          <cell r="N303">
            <v>1</v>
          </cell>
        </row>
        <row r="304">
          <cell r="M304" t="str">
            <v>Immo_Logehome</v>
          </cell>
          <cell r="N304">
            <v>1</v>
          </cell>
        </row>
        <row r="305">
          <cell r="M305" t="str">
            <v>Immo_SquareHabitat</v>
          </cell>
          <cell r="N305">
            <v>1</v>
          </cell>
        </row>
        <row r="306">
          <cell r="M306" t="str">
            <v>Immobilier _Lilloise</v>
          </cell>
          <cell r="N306">
            <v>1</v>
          </cell>
        </row>
        <row r="307">
          <cell r="M307" t="str">
            <v>Immobilier Invest</v>
          </cell>
          <cell r="N307">
            <v>1</v>
          </cell>
        </row>
        <row r="308">
          <cell r="M308" t="str">
            <v>Immobilier_Acquerim</v>
          </cell>
          <cell r="N308">
            <v>1</v>
          </cell>
        </row>
        <row r="309">
          <cell r="M309" t="str">
            <v>Immobilier_AlerteImmo</v>
          </cell>
          <cell r="N309">
            <v>1</v>
          </cell>
        </row>
        <row r="310">
          <cell r="M310" t="str">
            <v>Immobilier_ALHabitat</v>
          </cell>
          <cell r="N310">
            <v>1</v>
          </cell>
        </row>
        <row r="311">
          <cell r="M311" t="str">
            <v>Immobilier_Annoeullimmo</v>
          </cell>
          <cell r="N311">
            <v>1</v>
          </cell>
        </row>
        <row r="312">
          <cell r="M312" t="str">
            <v>Immobilier_Aro</v>
          </cell>
          <cell r="N312">
            <v>1</v>
          </cell>
        </row>
        <row r="313">
          <cell r="M313" t="str">
            <v>Immobilier_As</v>
          </cell>
          <cell r="N313">
            <v>1</v>
          </cell>
        </row>
        <row r="314">
          <cell r="M314" t="str">
            <v>Immobilier_AvenueMétropole</v>
          </cell>
          <cell r="N314">
            <v>1</v>
          </cell>
        </row>
        <row r="315">
          <cell r="M315" t="str">
            <v>Immobilier_BM</v>
          </cell>
          <cell r="N315">
            <v>1</v>
          </cell>
        </row>
        <row r="316">
          <cell r="M316" t="str">
            <v>Immobilier_Bocquet</v>
          </cell>
          <cell r="N316">
            <v>1</v>
          </cell>
        </row>
        <row r="317">
          <cell r="M317" t="str">
            <v>Immobilier_Boudry</v>
          </cell>
          <cell r="N317">
            <v>1</v>
          </cell>
        </row>
        <row r="318">
          <cell r="M318" t="str">
            <v>Immobilier_BriqueRouge</v>
          </cell>
          <cell r="N318">
            <v>1</v>
          </cell>
        </row>
        <row r="319">
          <cell r="M319" t="str">
            <v>Immobilier_CapNord</v>
          </cell>
          <cell r="N319">
            <v>1</v>
          </cell>
        </row>
        <row r="320">
          <cell r="M320" t="str">
            <v>Immobilier_Carre_Lille</v>
          </cell>
          <cell r="N320">
            <v>1</v>
          </cell>
        </row>
        <row r="321">
          <cell r="M321" t="str">
            <v>Immobilier_Caze</v>
          </cell>
          <cell r="N321">
            <v>1</v>
          </cell>
        </row>
        <row r="322">
          <cell r="M322" t="str">
            <v>Immobilier_ConnectImmo59</v>
          </cell>
          <cell r="N322">
            <v>1</v>
          </cell>
        </row>
        <row r="323">
          <cell r="M323" t="str">
            <v>Immobilier_De_France</v>
          </cell>
          <cell r="N323">
            <v>1</v>
          </cell>
        </row>
        <row r="324">
          <cell r="M324" t="str">
            <v>Immobilier_Debaisieux</v>
          </cell>
          <cell r="N324">
            <v>1</v>
          </cell>
        </row>
        <row r="325">
          <cell r="M325" t="str">
            <v>Immobilier_Dehaut</v>
          </cell>
          <cell r="N325">
            <v>1</v>
          </cell>
        </row>
        <row r="326">
          <cell r="M326" t="str">
            <v>Immobilier_Dumortier</v>
          </cell>
          <cell r="N326">
            <v>1</v>
          </cell>
        </row>
        <row r="327">
          <cell r="M327" t="str">
            <v>Immobilier_Duquesnoy</v>
          </cell>
          <cell r="N327">
            <v>1</v>
          </cell>
        </row>
        <row r="328">
          <cell r="M328" t="str">
            <v>Immobilier_ERAArmentieres</v>
          </cell>
          <cell r="N328">
            <v>1</v>
          </cell>
        </row>
        <row r="329">
          <cell r="M329" t="str">
            <v>Immobilier_Giraud</v>
          </cell>
          <cell r="N329">
            <v>1</v>
          </cell>
        </row>
        <row r="330">
          <cell r="M330" t="str">
            <v>Immobilier_Gotha</v>
          </cell>
          <cell r="N330">
            <v>1</v>
          </cell>
        </row>
        <row r="331">
          <cell r="M331" t="str">
            <v>Immobilier_HainautHabitat</v>
          </cell>
          <cell r="N331">
            <v>1</v>
          </cell>
        </row>
        <row r="332">
          <cell r="M332" t="str">
            <v>Immobilier_Halluin</v>
          </cell>
          <cell r="N332">
            <v>1</v>
          </cell>
        </row>
        <row r="333">
          <cell r="M333" t="str">
            <v>Immobilier_Happy</v>
          </cell>
          <cell r="N333">
            <v>1</v>
          </cell>
        </row>
        <row r="334">
          <cell r="M334" t="str">
            <v>Immobilier_Hashtag</v>
          </cell>
          <cell r="N334">
            <v>1</v>
          </cell>
        </row>
        <row r="335">
          <cell r="M335" t="str">
            <v>Immobilier_I&amp;S</v>
          </cell>
          <cell r="N335">
            <v>1</v>
          </cell>
        </row>
        <row r="336">
          <cell r="M336" t="str">
            <v>Immobilier_IAD</v>
          </cell>
          <cell r="N336">
            <v>1</v>
          </cell>
        </row>
        <row r="337">
          <cell r="M337" t="str">
            <v>Immobilier_IDF</v>
          </cell>
          <cell r="N337">
            <v>1</v>
          </cell>
        </row>
        <row r="338">
          <cell r="M338" t="str">
            <v>Immobilier_IMMATOUT</v>
          </cell>
          <cell r="N338">
            <v>1</v>
          </cell>
        </row>
        <row r="339">
          <cell r="M339" t="str">
            <v>Immobilier_ImmNord</v>
          </cell>
          <cell r="N339">
            <v>1</v>
          </cell>
        </row>
        <row r="340">
          <cell r="M340" t="str">
            <v>Immobilier_Inspire</v>
          </cell>
          <cell r="N340">
            <v>1</v>
          </cell>
        </row>
        <row r="341">
          <cell r="M341" t="str">
            <v>Immobilier_Invest</v>
          </cell>
          <cell r="N341">
            <v>1</v>
          </cell>
        </row>
        <row r="342">
          <cell r="M342" t="str">
            <v>Immobilier_Laforpy21</v>
          </cell>
          <cell r="N342">
            <v>1</v>
          </cell>
        </row>
        <row r="343">
          <cell r="M343" t="str">
            <v>Immobilier_LaMaizon</v>
          </cell>
          <cell r="N343">
            <v>1</v>
          </cell>
        </row>
        <row r="344">
          <cell r="M344" t="str">
            <v>Immobilier_LaRhonelle</v>
          </cell>
          <cell r="N344">
            <v>1</v>
          </cell>
        </row>
        <row r="345">
          <cell r="M345" t="str">
            <v>Immobilier_Lestienne</v>
          </cell>
          <cell r="N345">
            <v>1</v>
          </cell>
        </row>
        <row r="346">
          <cell r="M346" t="str">
            <v>Immobilier_Lilo</v>
          </cell>
          <cell r="N346">
            <v>1</v>
          </cell>
        </row>
        <row r="347">
          <cell r="M347" t="str">
            <v>Immobilier_Logifrance</v>
          </cell>
          <cell r="N347">
            <v>1</v>
          </cell>
        </row>
        <row r="348">
          <cell r="M348" t="str">
            <v>Immobilier_Lys_Patrimoine</v>
          </cell>
          <cell r="N348">
            <v>1</v>
          </cell>
        </row>
        <row r="349">
          <cell r="M349" t="str">
            <v>Immobilier_MA1930</v>
          </cell>
          <cell r="N349">
            <v>1</v>
          </cell>
        </row>
        <row r="350">
          <cell r="M350" t="str">
            <v>Immobilier_ManImmoPro</v>
          </cell>
          <cell r="N350">
            <v>1</v>
          </cell>
        </row>
        <row r="351">
          <cell r="M351" t="str">
            <v>Immobilier_MichelSimondLille</v>
          </cell>
          <cell r="N351">
            <v>1</v>
          </cell>
        </row>
        <row r="352">
          <cell r="M352" t="str">
            <v>Immobilier_NBBS</v>
          </cell>
          <cell r="N352">
            <v>1</v>
          </cell>
        </row>
        <row r="353">
          <cell r="M353" t="str">
            <v>Immobilier_NeuvilleHabitat</v>
          </cell>
          <cell r="N353">
            <v>1</v>
          </cell>
        </row>
        <row r="354">
          <cell r="M354" t="str">
            <v>Immobilier_NicolasDelette</v>
          </cell>
          <cell r="N354">
            <v>1</v>
          </cell>
        </row>
        <row r="355">
          <cell r="M355" t="str">
            <v>Immobilier_NLB</v>
          </cell>
          <cell r="N355">
            <v>1</v>
          </cell>
        </row>
        <row r="356">
          <cell r="M356" t="str">
            <v>Immobilier_NoiretPatrimoine</v>
          </cell>
          <cell r="N356">
            <v>1</v>
          </cell>
        </row>
        <row r="357">
          <cell r="M357" t="str">
            <v>Immobilier_Norabita</v>
          </cell>
          <cell r="N357">
            <v>1</v>
          </cell>
        </row>
        <row r="358">
          <cell r="M358" t="str">
            <v>Immobilier_Nord</v>
          </cell>
          <cell r="N358">
            <v>1</v>
          </cell>
        </row>
        <row r="359">
          <cell r="M359" t="str">
            <v>Immobilier_NovaFoncier</v>
          </cell>
          <cell r="N359">
            <v>1</v>
          </cell>
        </row>
        <row r="360">
          <cell r="M360" t="str">
            <v>Immobilier_Orpi</v>
          </cell>
          <cell r="N360">
            <v>1</v>
          </cell>
        </row>
        <row r="361">
          <cell r="M361" t="str">
            <v>Immobilier_ParcBarbieux</v>
          </cell>
          <cell r="N361">
            <v>1</v>
          </cell>
        </row>
        <row r="362">
          <cell r="M362" t="str">
            <v>Immobilier_ParisLille</v>
          </cell>
          <cell r="N362">
            <v>1</v>
          </cell>
        </row>
        <row r="363">
          <cell r="M363" t="str">
            <v>Immobilier_Pavinord</v>
          </cell>
          <cell r="N363">
            <v>1</v>
          </cell>
        </row>
        <row r="364">
          <cell r="M364" t="str">
            <v>Immobilier_Plaza</v>
          </cell>
          <cell r="N364">
            <v>1</v>
          </cell>
        </row>
        <row r="365">
          <cell r="M365" t="str">
            <v>Immobilier_Pream</v>
          </cell>
          <cell r="N365">
            <v>1</v>
          </cell>
        </row>
        <row r="366">
          <cell r="M366" t="str">
            <v>Immobilier_Ramery</v>
          </cell>
          <cell r="N366">
            <v>1</v>
          </cell>
        </row>
        <row r="367">
          <cell r="M367" t="str">
            <v>Immobilier_SaintChristophe</v>
          </cell>
          <cell r="N367">
            <v>1</v>
          </cell>
        </row>
        <row r="368">
          <cell r="M368" t="str">
            <v>Immobilier_ThérèseNoiret</v>
          </cell>
          <cell r="N368">
            <v>1</v>
          </cell>
        </row>
        <row r="369">
          <cell r="M369" t="str">
            <v>Immobilier_Transacnord</v>
          </cell>
          <cell r="N369">
            <v>1</v>
          </cell>
        </row>
        <row r="370">
          <cell r="M370" t="str">
            <v>Immobilier_VieuxLille</v>
          </cell>
          <cell r="N370">
            <v>1</v>
          </cell>
        </row>
        <row r="371">
          <cell r="M371" t="str">
            <v>Immobilier_VLF</v>
          </cell>
          <cell r="N371">
            <v>1</v>
          </cell>
        </row>
        <row r="372">
          <cell r="M372" t="str">
            <v>Immobilier_VRC</v>
          </cell>
          <cell r="N372">
            <v>1</v>
          </cell>
        </row>
        <row r="373">
          <cell r="M373" t="str">
            <v>Immobilier_WIGO</v>
          </cell>
          <cell r="N373">
            <v>1</v>
          </cell>
        </row>
        <row r="374">
          <cell r="M374" t="str">
            <v>Immobilier_Zola</v>
          </cell>
          <cell r="N374">
            <v>1</v>
          </cell>
        </row>
        <row r="375">
          <cell r="M375" t="str">
            <v>Immobiliier_BCS</v>
          </cell>
          <cell r="N375">
            <v>1</v>
          </cell>
        </row>
        <row r="376">
          <cell r="M376" t="str">
            <v>Immoblier_4M</v>
          </cell>
          <cell r="N376">
            <v>1</v>
          </cell>
        </row>
        <row r="377">
          <cell r="M377" t="str">
            <v>Immoblier_Inedit</v>
          </cell>
          <cell r="N377">
            <v>1</v>
          </cell>
        </row>
        <row r="378">
          <cell r="M378" t="str">
            <v>Immoblier_NicolasDelette</v>
          </cell>
          <cell r="N378">
            <v>1</v>
          </cell>
        </row>
        <row r="379">
          <cell r="M379" t="str">
            <v>Impact &amp; Stratégie</v>
          </cell>
          <cell r="N379">
            <v>1</v>
          </cell>
        </row>
        <row r="380">
          <cell r="M380" t="str">
            <v>Impressions_Modernes</v>
          </cell>
          <cell r="N380">
            <v>1</v>
          </cell>
        </row>
        <row r="381">
          <cell r="M381" t="str">
            <v>Imprimerie_2DGraphic</v>
          </cell>
          <cell r="N381">
            <v>1</v>
          </cell>
        </row>
        <row r="382">
          <cell r="M382" t="str">
            <v>Imprimerie_AGI</v>
          </cell>
          <cell r="N382">
            <v>1</v>
          </cell>
        </row>
        <row r="383">
          <cell r="M383" t="str">
            <v>Imprimerie_AJ2M</v>
          </cell>
          <cell r="N383">
            <v>1</v>
          </cell>
        </row>
        <row r="384">
          <cell r="M384" t="str">
            <v>Imprimerie_Alliance_PG_Sprint</v>
          </cell>
          <cell r="N384">
            <v>1</v>
          </cell>
        </row>
        <row r="385">
          <cell r="M385" t="str">
            <v>Imprimerie_AllianceNumérique</v>
          </cell>
          <cell r="N385">
            <v>1</v>
          </cell>
        </row>
        <row r="386">
          <cell r="M386" t="str">
            <v>Imprimerie_Aprime</v>
          </cell>
          <cell r="N386">
            <v>1</v>
          </cell>
        </row>
        <row r="387">
          <cell r="M387" t="str">
            <v>Imprimerie_Artésienne</v>
          </cell>
          <cell r="N387">
            <v>1</v>
          </cell>
        </row>
        <row r="388">
          <cell r="M388" t="str">
            <v>Imprimerie_Avesnois</v>
          </cell>
          <cell r="N388">
            <v>1</v>
          </cell>
        </row>
        <row r="389">
          <cell r="M389" t="str">
            <v>Imprimerie_Bateliers</v>
          </cell>
          <cell r="N389">
            <v>1</v>
          </cell>
        </row>
        <row r="390">
          <cell r="M390" t="str">
            <v>Imprimerie_Becquart</v>
          </cell>
          <cell r="N390">
            <v>1</v>
          </cell>
        </row>
        <row r="391">
          <cell r="M391" t="str">
            <v>Imprimerie_BezinHaller</v>
          </cell>
          <cell r="N391">
            <v>1</v>
          </cell>
        </row>
        <row r="392">
          <cell r="M392" t="str">
            <v>Imprimerie_BlasDesmoutiez</v>
          </cell>
          <cell r="N392">
            <v>1</v>
          </cell>
        </row>
        <row r="393">
          <cell r="M393" t="str">
            <v>Imprimerie_BLG_Toul</v>
          </cell>
          <cell r="N393">
            <v>1</v>
          </cell>
        </row>
        <row r="394">
          <cell r="M394" t="str">
            <v>Imprimerie_Brailly</v>
          </cell>
          <cell r="N394">
            <v>1</v>
          </cell>
        </row>
        <row r="395">
          <cell r="M395" t="str">
            <v>Imprimerie_Briqueteur</v>
          </cell>
          <cell r="N395">
            <v>1</v>
          </cell>
        </row>
        <row r="396">
          <cell r="M396" t="str">
            <v>Imprimerie_Cache</v>
          </cell>
          <cell r="N396">
            <v>1</v>
          </cell>
        </row>
        <row r="397">
          <cell r="M397" t="str">
            <v>Imprimerie_Calingaert</v>
          </cell>
          <cell r="N397">
            <v>1</v>
          </cell>
        </row>
        <row r="398">
          <cell r="M398" t="str">
            <v>Imprimerie_Caloone</v>
          </cell>
          <cell r="N398">
            <v>1</v>
          </cell>
        </row>
        <row r="399">
          <cell r="M399" t="str">
            <v>Imprimerie_Cavanat</v>
          </cell>
          <cell r="N399">
            <v>1</v>
          </cell>
        </row>
        <row r="400">
          <cell r="M400" t="str">
            <v>Imprimerie_Centrale</v>
          </cell>
          <cell r="N400">
            <v>1</v>
          </cell>
        </row>
        <row r="401">
          <cell r="M401" t="str">
            <v>Imprimerie_Chartrez</v>
          </cell>
          <cell r="N401">
            <v>1</v>
          </cell>
        </row>
        <row r="402">
          <cell r="M402" t="str">
            <v>Imprimerie_Chaumeil</v>
          </cell>
          <cell r="N402">
            <v>1</v>
          </cell>
        </row>
        <row r="403">
          <cell r="M403" t="str">
            <v>Imprimerie_Chazelle</v>
          </cell>
          <cell r="N403">
            <v>1</v>
          </cell>
        </row>
        <row r="404">
          <cell r="M404" t="str">
            <v>Imprimerie_Chevillon</v>
          </cell>
          <cell r="N404">
            <v>1</v>
          </cell>
        </row>
        <row r="405">
          <cell r="M405" t="str">
            <v>Imprimerie_Chopard</v>
          </cell>
          <cell r="N405">
            <v>1</v>
          </cell>
        </row>
        <row r="406">
          <cell r="M406" t="str">
            <v>Imprimerie_Ciagraphic</v>
          </cell>
          <cell r="N406">
            <v>1</v>
          </cell>
        </row>
        <row r="407">
          <cell r="M407" t="str">
            <v>Imprimerie_Colibri</v>
          </cell>
          <cell r="N407">
            <v>1</v>
          </cell>
        </row>
        <row r="408">
          <cell r="M408" t="str">
            <v>Imprimerie_Coloradoc</v>
          </cell>
          <cell r="N408">
            <v>1</v>
          </cell>
        </row>
        <row r="409">
          <cell r="M409" t="str">
            <v>Imprimerie_Comimpress</v>
          </cell>
          <cell r="N409">
            <v>1</v>
          </cell>
        </row>
        <row r="410">
          <cell r="M410" t="str">
            <v>Imprimerie_Courand&amp;Associes</v>
          </cell>
          <cell r="N410">
            <v>1</v>
          </cell>
        </row>
        <row r="411">
          <cell r="M411" t="str">
            <v>Imprimerie_CourrierDeLAisne</v>
          </cell>
          <cell r="N411">
            <v>1</v>
          </cell>
        </row>
        <row r="412">
          <cell r="M412" t="str">
            <v>Imprimerie_DaddyKate</v>
          </cell>
          <cell r="N412">
            <v>1</v>
          </cell>
        </row>
        <row r="413">
          <cell r="M413" t="str">
            <v>Imprimerie_Danquigny</v>
          </cell>
          <cell r="N413">
            <v>1</v>
          </cell>
        </row>
        <row r="414">
          <cell r="M414" t="str">
            <v>Imprimerie_Daudruicq</v>
          </cell>
          <cell r="N414">
            <v>1</v>
          </cell>
        </row>
        <row r="415">
          <cell r="M415" t="str">
            <v>Imprimerie_DbPrint</v>
          </cell>
          <cell r="N415">
            <v>1</v>
          </cell>
        </row>
        <row r="416">
          <cell r="M416" t="str">
            <v>Imprimerie_Decombat</v>
          </cell>
          <cell r="N416">
            <v>1</v>
          </cell>
        </row>
        <row r="417">
          <cell r="M417" t="str">
            <v>Imprimerie_Dedeystere</v>
          </cell>
          <cell r="N417">
            <v>1</v>
          </cell>
        </row>
        <row r="418">
          <cell r="M418" t="str">
            <v>Imprimerie_Delabie</v>
          </cell>
          <cell r="N418">
            <v>1</v>
          </cell>
        </row>
        <row r="419">
          <cell r="M419" t="str">
            <v>Imprimerie_Delezenne</v>
          </cell>
          <cell r="N419">
            <v>1</v>
          </cell>
        </row>
        <row r="420">
          <cell r="M420" t="str">
            <v>Imprimerie_Deppen</v>
          </cell>
          <cell r="N420">
            <v>1</v>
          </cell>
        </row>
        <row r="421">
          <cell r="M421" t="str">
            <v>Imprimerie_DesChamps</v>
          </cell>
          <cell r="N421">
            <v>1</v>
          </cell>
        </row>
        <row r="422">
          <cell r="M422" t="str">
            <v>Imprimerie_Despesse</v>
          </cell>
          <cell r="N422">
            <v>1</v>
          </cell>
        </row>
        <row r="423">
          <cell r="M423" t="str">
            <v>Imprimerie_Detreille</v>
          </cell>
          <cell r="N423">
            <v>1</v>
          </cell>
        </row>
        <row r="424">
          <cell r="M424" t="str">
            <v>Imprimerie_Deval</v>
          </cell>
          <cell r="N424">
            <v>1</v>
          </cell>
        </row>
        <row r="425">
          <cell r="M425" t="str">
            <v>Imprimerie_DigitOffset</v>
          </cell>
          <cell r="N425">
            <v>1</v>
          </cell>
        </row>
        <row r="426">
          <cell r="M426" t="str">
            <v>Imprimerie_Du_Commerce</v>
          </cell>
          <cell r="N426">
            <v>1</v>
          </cell>
        </row>
        <row r="427">
          <cell r="M427" t="str">
            <v>Imprimerie_Dumont</v>
          </cell>
          <cell r="N427">
            <v>1</v>
          </cell>
        </row>
        <row r="428">
          <cell r="M428" t="str">
            <v>Imprimerie_Dumoulin</v>
          </cell>
          <cell r="N428">
            <v>1</v>
          </cell>
        </row>
        <row r="429">
          <cell r="M429" t="str">
            <v>Imprimerie_DVB</v>
          </cell>
          <cell r="N429">
            <v>1</v>
          </cell>
        </row>
        <row r="430">
          <cell r="M430" t="str">
            <v>Imprimerie_Ethap</v>
          </cell>
          <cell r="N430">
            <v>1</v>
          </cell>
        </row>
        <row r="431">
          <cell r="M431" t="str">
            <v>Imprimerie_Exprimeur</v>
          </cell>
          <cell r="N431">
            <v>1</v>
          </cell>
        </row>
        <row r="432">
          <cell r="M432" t="str">
            <v>Imprimerie_F&amp;D</v>
          </cell>
          <cell r="N432">
            <v>1</v>
          </cell>
        </row>
        <row r="433">
          <cell r="M433" t="str">
            <v>Imprimerie_Faurite</v>
          </cell>
          <cell r="N433">
            <v>1</v>
          </cell>
        </row>
        <row r="434">
          <cell r="M434" t="str">
            <v>Imprimerie_FOT</v>
          </cell>
          <cell r="N434">
            <v>1</v>
          </cell>
        </row>
        <row r="435">
          <cell r="M435" t="str">
            <v>Imprimerie_FusionGraphic</v>
          </cell>
          <cell r="N435">
            <v>1</v>
          </cell>
        </row>
        <row r="436">
          <cell r="M436" t="str">
            <v>Imprimerie_Gantier</v>
          </cell>
          <cell r="N436">
            <v>1</v>
          </cell>
        </row>
        <row r="437">
          <cell r="M437" t="str">
            <v>Imprimerie_Garet</v>
          </cell>
          <cell r="N437">
            <v>1</v>
          </cell>
        </row>
        <row r="438">
          <cell r="M438" t="str">
            <v>Imprimerie_Geiger</v>
          </cell>
          <cell r="N438">
            <v>1</v>
          </cell>
        </row>
        <row r="439">
          <cell r="M439" t="str">
            <v>Imprimerie_Graph1Prim</v>
          </cell>
          <cell r="N439">
            <v>1</v>
          </cell>
        </row>
        <row r="440">
          <cell r="M440" t="str">
            <v>Imprimerie_GroupeMorault</v>
          </cell>
          <cell r="N440">
            <v>1</v>
          </cell>
        </row>
        <row r="441">
          <cell r="M441" t="str">
            <v>Imprimerie_Guivarch</v>
          </cell>
          <cell r="N441">
            <v>1</v>
          </cell>
        </row>
        <row r="442">
          <cell r="M442" t="str">
            <v>Imprimerie_Gyss</v>
          </cell>
          <cell r="N442">
            <v>1</v>
          </cell>
        </row>
        <row r="443">
          <cell r="M443" t="str">
            <v>Imprimerie_Hechter</v>
          </cell>
          <cell r="N443">
            <v>1</v>
          </cell>
        </row>
        <row r="444">
          <cell r="M444" t="str">
            <v>Imprimerie_Hengen&amp;Morel</v>
          </cell>
          <cell r="N444">
            <v>1</v>
          </cell>
        </row>
        <row r="445">
          <cell r="M445" t="str">
            <v>Imprimerie_Houdeville</v>
          </cell>
          <cell r="N445">
            <v>1</v>
          </cell>
        </row>
        <row r="446">
          <cell r="M446" t="str">
            <v>Imprimerie_IC4</v>
          </cell>
          <cell r="N446">
            <v>1</v>
          </cell>
        </row>
        <row r="447">
          <cell r="M447" t="str">
            <v>Imprimerie_ICODK</v>
          </cell>
          <cell r="N447">
            <v>1</v>
          </cell>
        </row>
        <row r="448">
          <cell r="M448" t="str">
            <v>Imprimerie_ICR</v>
          </cell>
          <cell r="N448">
            <v>1</v>
          </cell>
        </row>
        <row r="449">
          <cell r="M449" t="str">
            <v>Imprimerie_IDC</v>
          </cell>
          <cell r="N449">
            <v>1</v>
          </cell>
        </row>
        <row r="450">
          <cell r="M450" t="str">
            <v>Imprimerie_Impact</v>
          </cell>
          <cell r="N450">
            <v>1</v>
          </cell>
        </row>
        <row r="451">
          <cell r="M451" t="str">
            <v>Imprimerie_ImpressionDirecte</v>
          </cell>
          <cell r="N451">
            <v>1</v>
          </cell>
        </row>
        <row r="452">
          <cell r="M452" t="str">
            <v>Imprimerie_ImpressionsModernes</v>
          </cell>
          <cell r="N452">
            <v>1</v>
          </cell>
        </row>
        <row r="453">
          <cell r="M453" t="str">
            <v>Imprimerie_Imprigraph</v>
          </cell>
          <cell r="N453">
            <v>1</v>
          </cell>
        </row>
        <row r="454">
          <cell r="M454" t="str">
            <v>Imprimerie_ImprimaLog</v>
          </cell>
          <cell r="N454">
            <v>1</v>
          </cell>
        </row>
        <row r="455">
          <cell r="M455" t="str">
            <v>Imprimerie_ImprimeursCorréziens</v>
          </cell>
          <cell r="N455">
            <v>1</v>
          </cell>
        </row>
        <row r="456">
          <cell r="M456" t="str">
            <v>Imprimerie_Imprimis</v>
          </cell>
          <cell r="N456">
            <v>1</v>
          </cell>
        </row>
        <row r="457">
          <cell r="M457" t="str">
            <v>Imprimerie_Innigroup</v>
          </cell>
          <cell r="N457">
            <v>1</v>
          </cell>
        </row>
        <row r="458">
          <cell r="M458" t="str">
            <v>Imprimerie_IOV</v>
          </cell>
          <cell r="N458">
            <v>1</v>
          </cell>
        </row>
        <row r="459">
          <cell r="M459" t="str">
            <v>Imprimerie_IPVA</v>
          </cell>
          <cell r="N459">
            <v>1</v>
          </cell>
        </row>
        <row r="460">
          <cell r="M460" t="str">
            <v>Imprimerie_ISLTellier</v>
          </cell>
          <cell r="N460">
            <v>1</v>
          </cell>
        </row>
        <row r="461">
          <cell r="M461" t="str">
            <v>Imprimerie_J2M</v>
          </cell>
          <cell r="N461">
            <v>1</v>
          </cell>
        </row>
        <row r="462">
          <cell r="M462" t="str">
            <v>Imprimerie_Jean_Bernard</v>
          </cell>
          <cell r="N462">
            <v>1</v>
          </cell>
        </row>
        <row r="463">
          <cell r="M463" t="str">
            <v>Imprimerie_JFImpression</v>
          </cell>
          <cell r="N463">
            <v>1</v>
          </cell>
        </row>
        <row r="464">
          <cell r="M464" t="str">
            <v>Imprimerie_Kersebea</v>
          </cell>
          <cell r="N464">
            <v>1</v>
          </cell>
        </row>
        <row r="465">
          <cell r="M465" t="str">
            <v>Imprimerie_Klein</v>
          </cell>
          <cell r="N465">
            <v>1</v>
          </cell>
        </row>
        <row r="466">
          <cell r="M466" t="str">
            <v>Imprimerie_Klopp</v>
          </cell>
          <cell r="N466">
            <v>1</v>
          </cell>
        </row>
        <row r="467">
          <cell r="M467" t="str">
            <v>Imprimerie_Koch</v>
          </cell>
          <cell r="N467">
            <v>1</v>
          </cell>
        </row>
        <row r="468">
          <cell r="M468" t="str">
            <v>Imprimerie_LaMonsoise</v>
          </cell>
          <cell r="N468">
            <v>1</v>
          </cell>
        </row>
        <row r="469">
          <cell r="M469" t="str">
            <v>Imprimerie_Lanoe</v>
          </cell>
          <cell r="N469">
            <v>1</v>
          </cell>
        </row>
        <row r="470">
          <cell r="M470" t="str">
            <v>Imprimerie_LaVille</v>
          </cell>
          <cell r="N470">
            <v>1</v>
          </cell>
        </row>
        <row r="471">
          <cell r="M471" t="str">
            <v>Imprimerie_LeCerf</v>
          </cell>
          <cell r="N471">
            <v>1</v>
          </cell>
        </row>
        <row r="472">
          <cell r="M472" t="str">
            <v>Imprimerie_Leclerc</v>
          </cell>
          <cell r="N472">
            <v>1</v>
          </cell>
        </row>
        <row r="473">
          <cell r="M473" t="str">
            <v>Imprimerie_LeColibri</v>
          </cell>
          <cell r="N473">
            <v>1</v>
          </cell>
        </row>
        <row r="474">
          <cell r="M474" t="str">
            <v>Imprimerie_Leducq</v>
          </cell>
          <cell r="N474">
            <v>1</v>
          </cell>
        </row>
        <row r="475">
          <cell r="M475" t="str">
            <v>Imprimerie_LeGalliard</v>
          </cell>
          <cell r="N475">
            <v>1</v>
          </cell>
        </row>
        <row r="476">
          <cell r="M476" t="str">
            <v>Imprimerie_LeRéveil</v>
          </cell>
          <cell r="N476">
            <v>1</v>
          </cell>
        </row>
        <row r="477">
          <cell r="M477" t="str">
            <v>Imprimerie_LesImprimeursCorréziens</v>
          </cell>
          <cell r="N477">
            <v>1</v>
          </cell>
        </row>
        <row r="478">
          <cell r="M478" t="str">
            <v>Imprimerie_Lhuillier</v>
          </cell>
          <cell r="N478">
            <v>1</v>
          </cell>
        </row>
        <row r="479">
          <cell r="M479" t="str">
            <v>Imprimerie_LorraineGraphic</v>
          </cell>
          <cell r="N479">
            <v>1</v>
          </cell>
        </row>
        <row r="480">
          <cell r="M480" t="str">
            <v>Imprimerie_Losfeld</v>
          </cell>
          <cell r="N480">
            <v>1</v>
          </cell>
        </row>
        <row r="481">
          <cell r="M481" t="str">
            <v>Imprimerie_MediaGraphic</v>
          </cell>
          <cell r="N481">
            <v>1</v>
          </cell>
        </row>
        <row r="482">
          <cell r="M482" t="str">
            <v>Imprimerie_Moderne</v>
          </cell>
          <cell r="N482">
            <v>1</v>
          </cell>
        </row>
        <row r="483">
          <cell r="M483" t="str">
            <v>Imprimerie_ModerneGraphic</v>
          </cell>
          <cell r="N483">
            <v>1</v>
          </cell>
        </row>
        <row r="484">
          <cell r="M484" t="str">
            <v>Imprimerie_Mordacq</v>
          </cell>
          <cell r="N484">
            <v>1</v>
          </cell>
        </row>
        <row r="485">
          <cell r="M485" t="str">
            <v>Imprimerie_Moutier</v>
          </cell>
          <cell r="N485">
            <v>1</v>
          </cell>
        </row>
        <row r="486">
          <cell r="M486" t="str">
            <v>Imprimerie_NordImprim</v>
          </cell>
          <cell r="N486">
            <v>1</v>
          </cell>
        </row>
        <row r="487">
          <cell r="M487" t="str">
            <v>Imprimerie_OffsetImpression</v>
          </cell>
          <cell r="N487">
            <v>1</v>
          </cell>
        </row>
        <row r="488">
          <cell r="M488" t="str">
            <v>Imprimerie_Opica</v>
          </cell>
          <cell r="N488">
            <v>1</v>
          </cell>
        </row>
        <row r="489">
          <cell r="M489" t="str">
            <v>Imprimerie_Optimum</v>
          </cell>
          <cell r="N489">
            <v>1</v>
          </cell>
        </row>
        <row r="490">
          <cell r="M490" t="str">
            <v>Imprimerie_Ormont</v>
          </cell>
          <cell r="N490">
            <v>1</v>
          </cell>
        </row>
        <row r="491">
          <cell r="M491" t="str">
            <v>Imprimerie_OTT</v>
          </cell>
          <cell r="N491">
            <v>1</v>
          </cell>
        </row>
        <row r="492">
          <cell r="M492" t="str">
            <v>Imprimerie_Pacaud</v>
          </cell>
          <cell r="N492">
            <v>1</v>
          </cell>
        </row>
        <row r="493">
          <cell r="M493" t="str">
            <v>Imprimerie_Parmentier</v>
          </cell>
          <cell r="N493">
            <v>1</v>
          </cell>
        </row>
        <row r="494">
          <cell r="M494" t="str">
            <v>Imprimerie_PerfectmixPhotoOffset</v>
          </cell>
          <cell r="N494">
            <v>1</v>
          </cell>
        </row>
        <row r="495">
          <cell r="M495" t="str">
            <v>Imprimerie_Plateau_Picard</v>
          </cell>
          <cell r="N495">
            <v>1</v>
          </cell>
        </row>
        <row r="496">
          <cell r="M496" t="str">
            <v>Imprimerie_Poisneuf</v>
          </cell>
          <cell r="N496">
            <v>1</v>
          </cell>
        </row>
        <row r="497">
          <cell r="M497" t="str">
            <v>Imprimerie_PresseFlamande</v>
          </cell>
          <cell r="N497">
            <v>1</v>
          </cell>
        </row>
        <row r="498">
          <cell r="M498" t="str">
            <v>Imprimerie_Prime</v>
          </cell>
          <cell r="N498">
            <v>1</v>
          </cell>
        </row>
        <row r="499">
          <cell r="M499" t="str">
            <v>Imprimerie_PrimeService</v>
          </cell>
          <cell r="N499">
            <v>1</v>
          </cell>
        </row>
        <row r="500">
          <cell r="M500" t="str">
            <v>Imprimerie_PrintForum</v>
          </cell>
          <cell r="N500">
            <v>1</v>
          </cell>
        </row>
        <row r="501">
          <cell r="M501" t="str">
            <v>Imprimerie_RAS</v>
          </cell>
          <cell r="N501">
            <v>1</v>
          </cell>
        </row>
        <row r="502">
          <cell r="M502" t="str">
            <v>Imprimerie_REC</v>
          </cell>
          <cell r="N502">
            <v>1</v>
          </cell>
        </row>
        <row r="503">
          <cell r="M503" t="str">
            <v>Imprimerie_Reprocolor</v>
          </cell>
          <cell r="N503">
            <v>1</v>
          </cell>
        </row>
        <row r="504">
          <cell r="M504" t="str">
            <v>Imprimerie_RGI</v>
          </cell>
          <cell r="N504">
            <v>1</v>
          </cell>
        </row>
        <row r="505">
          <cell r="M505" t="str">
            <v>Imprimerie_Roue</v>
          </cell>
          <cell r="N505">
            <v>1</v>
          </cell>
        </row>
        <row r="506">
          <cell r="M506" t="str">
            <v>Imprimerie_Sensey</v>
          </cell>
          <cell r="N506">
            <v>1</v>
          </cell>
        </row>
        <row r="507">
          <cell r="M507" t="str">
            <v>Imprimerie_SereproNumeric</v>
          </cell>
          <cell r="N507">
            <v>1</v>
          </cell>
        </row>
        <row r="508">
          <cell r="M508" t="str">
            <v>Imprimerie_Shareprint</v>
          </cell>
          <cell r="N508">
            <v>1</v>
          </cell>
        </row>
        <row r="509">
          <cell r="M509" t="str">
            <v>Imprimerie_Sib</v>
          </cell>
          <cell r="N509">
            <v>1</v>
          </cell>
        </row>
        <row r="510">
          <cell r="M510" t="str">
            <v>Imprimerie_SimonGraphic</v>
          </cell>
          <cell r="N510">
            <v>1</v>
          </cell>
        </row>
        <row r="511">
          <cell r="M511" t="str">
            <v>Imprimerie_Sipa_Oudin</v>
          </cell>
          <cell r="N511">
            <v>1</v>
          </cell>
        </row>
        <row r="512">
          <cell r="M512" t="str">
            <v>Imprimerie_SIPAP</v>
          </cell>
          <cell r="N512">
            <v>1</v>
          </cell>
        </row>
        <row r="513">
          <cell r="M513" t="str">
            <v>Imprimerie_SNAG</v>
          </cell>
          <cell r="N513">
            <v>1</v>
          </cell>
        </row>
        <row r="514">
          <cell r="M514" t="str">
            <v>Imprimerie_Sodimpale</v>
          </cell>
          <cell r="N514">
            <v>1</v>
          </cell>
        </row>
        <row r="515">
          <cell r="M515" t="str">
            <v>Imprimerie_Stin</v>
          </cell>
          <cell r="N515">
            <v>1</v>
          </cell>
        </row>
        <row r="516">
          <cell r="M516" t="str">
            <v>Imprimerie_Talesca</v>
          </cell>
          <cell r="N516">
            <v>1</v>
          </cell>
        </row>
        <row r="517">
          <cell r="M517" t="str">
            <v>Imprimerie_Tanghe</v>
          </cell>
          <cell r="N517">
            <v>1</v>
          </cell>
        </row>
        <row r="518">
          <cell r="M518" t="str">
            <v>Imprimerie_TechnoPrint</v>
          </cell>
          <cell r="N518">
            <v>1</v>
          </cell>
        </row>
        <row r="519">
          <cell r="M519" t="str">
            <v>Imprimerie_Thorax</v>
          </cell>
          <cell r="N519">
            <v>1</v>
          </cell>
        </row>
        <row r="520">
          <cell r="M520" t="str">
            <v>Imprimerie_Tilliemopin</v>
          </cell>
          <cell r="N520">
            <v>1</v>
          </cell>
        </row>
        <row r="521">
          <cell r="M521" t="str">
            <v>Imprimerie_TPI</v>
          </cell>
          <cell r="N521">
            <v>1</v>
          </cell>
        </row>
        <row r="522">
          <cell r="M522" t="str">
            <v>Imprimerie_Turquin</v>
          </cell>
          <cell r="N522">
            <v>1</v>
          </cell>
        </row>
        <row r="523">
          <cell r="M523" t="str">
            <v>Imprimerie_VAG</v>
          </cell>
          <cell r="N523">
            <v>1</v>
          </cell>
        </row>
        <row r="524">
          <cell r="M524" t="str">
            <v>Imprimerie_Valblor</v>
          </cell>
          <cell r="N524">
            <v>1</v>
          </cell>
        </row>
        <row r="525">
          <cell r="M525" t="str">
            <v>Imprimerie_Woelffé</v>
          </cell>
          <cell r="N525">
            <v>1</v>
          </cell>
        </row>
        <row r="526">
          <cell r="M526" t="str">
            <v>Imprimerie_Yonnaise</v>
          </cell>
          <cell r="N526">
            <v>1</v>
          </cell>
        </row>
        <row r="527">
          <cell r="M527" t="str">
            <v>Imprimerie_YpertImpam</v>
          </cell>
          <cell r="N527">
            <v>1</v>
          </cell>
        </row>
        <row r="528">
          <cell r="M528" t="str">
            <v>Imprimis</v>
          </cell>
          <cell r="N528">
            <v>1</v>
          </cell>
        </row>
        <row r="529">
          <cell r="M529" t="str">
            <v>IMS</v>
          </cell>
          <cell r="N529">
            <v>1.1000000000000001</v>
          </cell>
        </row>
        <row r="530">
          <cell r="M530" t="str">
            <v>Inedit_Immobilier</v>
          </cell>
          <cell r="N530">
            <v>1</v>
          </cell>
        </row>
        <row r="531">
          <cell r="M531" t="str">
            <v>InniGroup</v>
          </cell>
          <cell r="N531">
            <v>1</v>
          </cell>
        </row>
        <row r="532">
          <cell r="M532" t="str">
            <v>InoreGroupe</v>
          </cell>
          <cell r="N532">
            <v>1</v>
          </cell>
        </row>
        <row r="533">
          <cell r="M533" t="str">
            <v>InPressco</v>
          </cell>
          <cell r="N533">
            <v>1</v>
          </cell>
        </row>
        <row r="534">
          <cell r="M534" t="str">
            <v>Institut_Technique_la_betterave</v>
          </cell>
          <cell r="N534">
            <v>1</v>
          </cell>
        </row>
        <row r="535">
          <cell r="M535" t="str">
            <v>Interface-graphic</v>
          </cell>
          <cell r="N535">
            <v>1</v>
          </cell>
        </row>
        <row r="536">
          <cell r="M536" t="str">
            <v>Interne</v>
          </cell>
          <cell r="N536">
            <v>1</v>
          </cell>
        </row>
        <row r="537">
          <cell r="M537" t="str">
            <v>Interstiss</v>
          </cell>
          <cell r="N537">
            <v>1</v>
          </cell>
        </row>
        <row r="538">
          <cell r="M538" t="str">
            <v>Interval_Concept</v>
          </cell>
          <cell r="N538">
            <v>1</v>
          </cell>
        </row>
        <row r="539">
          <cell r="M539" t="str">
            <v>IPP</v>
          </cell>
          <cell r="N539">
            <v>1</v>
          </cell>
        </row>
        <row r="540">
          <cell r="M540" t="str">
            <v>Isocab</v>
          </cell>
          <cell r="N540">
            <v>1</v>
          </cell>
        </row>
        <row r="541">
          <cell r="M541" t="str">
            <v>ISP_France_Essilor</v>
          </cell>
          <cell r="N541">
            <v>1</v>
          </cell>
        </row>
        <row r="542">
          <cell r="M542" t="str">
            <v>Itinéraire_Graphique</v>
          </cell>
          <cell r="N542">
            <v>1</v>
          </cell>
        </row>
        <row r="543">
          <cell r="M543" t="str">
            <v>JB_Solutions</v>
          </cell>
          <cell r="N543">
            <v>1</v>
          </cell>
        </row>
        <row r="544">
          <cell r="M544" t="str">
            <v>JBK_Corporation</v>
          </cell>
          <cell r="N544">
            <v>1.1000000000000001</v>
          </cell>
        </row>
        <row r="545">
          <cell r="M545" t="str">
            <v>JCDCom</v>
          </cell>
          <cell r="N545">
            <v>1</v>
          </cell>
        </row>
        <row r="546">
          <cell r="M546" t="str">
            <v>JD Editions - Zygomatic Studio</v>
          </cell>
          <cell r="N546">
            <v>1</v>
          </cell>
        </row>
        <row r="547">
          <cell r="M547" t="str">
            <v>JG</v>
          </cell>
          <cell r="N547">
            <v>1</v>
          </cell>
        </row>
        <row r="548">
          <cell r="M548" t="str">
            <v>JNPR</v>
          </cell>
          <cell r="N548">
            <v>1</v>
          </cell>
        </row>
        <row r="549">
          <cell r="M549" t="str">
            <v>Joubert</v>
          </cell>
          <cell r="N549">
            <v>1</v>
          </cell>
        </row>
        <row r="550">
          <cell r="M550" t="str">
            <v>JPEStudio</v>
          </cell>
          <cell r="N550">
            <v>1</v>
          </cell>
        </row>
        <row r="551">
          <cell r="M551" t="str">
            <v>Jurine</v>
          </cell>
          <cell r="N551">
            <v>1</v>
          </cell>
        </row>
        <row r="552">
          <cell r="M552" t="str">
            <v>Kalinafloor</v>
          </cell>
          <cell r="N552">
            <v>1</v>
          </cell>
        </row>
        <row r="553">
          <cell r="M553" t="str">
            <v>Kalis_Creation</v>
          </cell>
          <cell r="N553">
            <v>1</v>
          </cell>
        </row>
        <row r="554">
          <cell r="M554" t="str">
            <v>Kalistene</v>
          </cell>
          <cell r="N554">
            <v>1</v>
          </cell>
        </row>
        <row r="555">
          <cell r="M555" t="str">
            <v>Kappa_Communication</v>
          </cell>
          <cell r="N555">
            <v>1</v>
          </cell>
        </row>
        <row r="556">
          <cell r="M556" t="str">
            <v>Kellie_Laure</v>
          </cell>
          <cell r="N556">
            <v>1</v>
          </cell>
        </row>
        <row r="557">
          <cell r="M557" t="str">
            <v>Keolis</v>
          </cell>
          <cell r="N557">
            <v>1</v>
          </cell>
        </row>
        <row r="558">
          <cell r="M558" t="str">
            <v>Kohler</v>
          </cell>
          <cell r="N558">
            <v>1</v>
          </cell>
        </row>
        <row r="559">
          <cell r="M559" t="str">
            <v>Koziel</v>
          </cell>
          <cell r="N559">
            <v>1</v>
          </cell>
        </row>
        <row r="560">
          <cell r="M560" t="str">
            <v>Krom</v>
          </cell>
          <cell r="N560">
            <v>1</v>
          </cell>
        </row>
        <row r="561">
          <cell r="M561" t="str">
            <v>KwFrance</v>
          </cell>
          <cell r="N561">
            <v>1</v>
          </cell>
        </row>
        <row r="562">
          <cell r="M562" t="str">
            <v>L &amp; M Jeu</v>
          </cell>
          <cell r="N562">
            <v>1</v>
          </cell>
        </row>
        <row r="563">
          <cell r="M563" t="str">
            <v>LaBoucle</v>
          </cell>
          <cell r="N563">
            <v>1</v>
          </cell>
        </row>
        <row r="564">
          <cell r="M564" t="str">
            <v>LaCoupole</v>
          </cell>
          <cell r="N564">
            <v>1</v>
          </cell>
        </row>
        <row r="565">
          <cell r="M565" t="str">
            <v>Laminage_Production</v>
          </cell>
          <cell r="N565">
            <v>1</v>
          </cell>
        </row>
        <row r="566">
          <cell r="M566" t="str">
            <v>Lancaster</v>
          </cell>
          <cell r="N566">
            <v>1</v>
          </cell>
        </row>
        <row r="567">
          <cell r="M567" t="str">
            <v>LaTruffiere</v>
          </cell>
          <cell r="N567">
            <v>1</v>
          </cell>
        </row>
        <row r="568">
          <cell r="M568" t="str">
            <v>Laval_Europe</v>
          </cell>
          <cell r="N568">
            <v>1</v>
          </cell>
        </row>
        <row r="569">
          <cell r="M569" t="str">
            <v>LC_Resolution</v>
          </cell>
          <cell r="N569">
            <v>1</v>
          </cell>
        </row>
        <row r="570">
          <cell r="M570" t="str">
            <v>LDLC</v>
          </cell>
          <cell r="N570">
            <v>1</v>
          </cell>
        </row>
        <row r="571">
          <cell r="M571" t="str">
            <v>LeGouverneur</v>
          </cell>
          <cell r="N571">
            <v>1</v>
          </cell>
        </row>
        <row r="572">
          <cell r="M572" t="str">
            <v>LeMetalServices</v>
          </cell>
          <cell r="N572">
            <v>1</v>
          </cell>
        </row>
        <row r="573">
          <cell r="M573" t="str">
            <v>LeModerato</v>
          </cell>
          <cell r="N573">
            <v>1</v>
          </cell>
        </row>
        <row r="574">
          <cell r="M574" t="str">
            <v>LeonceDeprez</v>
          </cell>
          <cell r="N574">
            <v>1</v>
          </cell>
        </row>
        <row r="575">
          <cell r="M575" t="str">
            <v>Leopold_Chale</v>
          </cell>
          <cell r="N575">
            <v>1</v>
          </cell>
        </row>
        <row r="576">
          <cell r="M576" t="str">
            <v>LéopoldChâle</v>
          </cell>
          <cell r="N576">
            <v>1</v>
          </cell>
        </row>
        <row r="577">
          <cell r="M577" t="str">
            <v>Les_Serres_Du_Melantois</v>
          </cell>
          <cell r="N577">
            <v>1</v>
          </cell>
        </row>
        <row r="578">
          <cell r="M578" t="str">
            <v>LesAteliersReunis</v>
          </cell>
          <cell r="N578">
            <v>1</v>
          </cell>
        </row>
        <row r="579">
          <cell r="M579" t="str">
            <v>LesLubiesDeCadia</v>
          </cell>
          <cell r="N579">
            <v>1</v>
          </cell>
        </row>
        <row r="580">
          <cell r="M580" t="str">
            <v>Lezarts_Studio</v>
          </cell>
          <cell r="N580">
            <v>1</v>
          </cell>
        </row>
        <row r="581">
          <cell r="M581" t="str">
            <v>Ligne_Roset</v>
          </cell>
          <cell r="N581">
            <v>1</v>
          </cell>
        </row>
        <row r="582">
          <cell r="M582" t="str">
            <v>Lineal</v>
          </cell>
          <cell r="N582">
            <v>1</v>
          </cell>
        </row>
        <row r="583">
          <cell r="M583" t="str">
            <v>Lineup</v>
          </cell>
          <cell r="N583">
            <v>1</v>
          </cell>
        </row>
        <row r="584">
          <cell r="M584" t="str">
            <v>Loca_Service</v>
          </cell>
          <cell r="N584">
            <v>1</v>
          </cell>
        </row>
        <row r="585">
          <cell r="M585" t="str">
            <v>Loca-Service</v>
          </cell>
          <cell r="N585">
            <v>1</v>
          </cell>
        </row>
        <row r="586">
          <cell r="M586" t="str">
            <v>Logitrade</v>
          </cell>
          <cell r="N586">
            <v>1.1000000000000001</v>
          </cell>
        </row>
        <row r="587">
          <cell r="M587" t="str">
            <v>Lolaliza</v>
          </cell>
          <cell r="N587">
            <v>1</v>
          </cell>
        </row>
        <row r="588">
          <cell r="M588" t="str">
            <v>LOréal</v>
          </cell>
          <cell r="N588">
            <v>1</v>
          </cell>
        </row>
        <row r="589">
          <cell r="M589" t="str">
            <v>Lotus</v>
          </cell>
          <cell r="N589">
            <v>1</v>
          </cell>
        </row>
        <row r="590">
          <cell r="M590" t="str">
            <v>LST</v>
          </cell>
          <cell r="N590">
            <v>1</v>
          </cell>
        </row>
        <row r="591">
          <cell r="M591" t="str">
            <v>Lunasc</v>
          </cell>
          <cell r="N591">
            <v>1</v>
          </cell>
        </row>
        <row r="592">
          <cell r="M592" t="str">
            <v>Luxaflex</v>
          </cell>
          <cell r="N592">
            <v>1</v>
          </cell>
        </row>
        <row r="593">
          <cell r="M593" t="str">
            <v>Luzyne</v>
          </cell>
          <cell r="N593">
            <v>1</v>
          </cell>
        </row>
        <row r="594">
          <cell r="M594" t="str">
            <v>Lykakis</v>
          </cell>
          <cell r="N594">
            <v>1</v>
          </cell>
        </row>
        <row r="595">
          <cell r="M595" t="str">
            <v>MadécoStore</v>
          </cell>
          <cell r="N595">
            <v>1</v>
          </cell>
        </row>
        <row r="596">
          <cell r="M596" t="str">
            <v>Maestro</v>
          </cell>
          <cell r="N596">
            <v>1</v>
          </cell>
        </row>
        <row r="597">
          <cell r="M597" t="str">
            <v>Magie_Noire</v>
          </cell>
          <cell r="N597">
            <v>1</v>
          </cell>
        </row>
        <row r="598">
          <cell r="M598" t="str">
            <v>Mairie_Bousbecque</v>
          </cell>
          <cell r="N598">
            <v>1</v>
          </cell>
        </row>
        <row r="599">
          <cell r="M599" t="str">
            <v>Mairie_Comines</v>
          </cell>
          <cell r="N599">
            <v>1</v>
          </cell>
        </row>
        <row r="600">
          <cell r="M600" t="str">
            <v>Mairie_Halluin</v>
          </cell>
          <cell r="N600">
            <v>1</v>
          </cell>
        </row>
        <row r="601">
          <cell r="M601" t="str">
            <v>Mairie_NeuvilleEnFerrain</v>
          </cell>
          <cell r="N601">
            <v>1</v>
          </cell>
        </row>
        <row r="602">
          <cell r="M602" t="str">
            <v>Maison_Alloen</v>
          </cell>
          <cell r="N602">
            <v>1</v>
          </cell>
        </row>
        <row r="603">
          <cell r="M603" t="str">
            <v>Maison_Car&amp;Ver</v>
          </cell>
          <cell r="N603">
            <v>1</v>
          </cell>
        </row>
        <row r="604">
          <cell r="M604" t="str">
            <v>Maison_Levoye</v>
          </cell>
          <cell r="N604">
            <v>1</v>
          </cell>
        </row>
        <row r="605">
          <cell r="M605" t="str">
            <v>Maison_Mikit</v>
          </cell>
          <cell r="N605">
            <v>1</v>
          </cell>
        </row>
        <row r="606">
          <cell r="M606" t="str">
            <v>MaisonDB</v>
          </cell>
          <cell r="N606">
            <v>1</v>
          </cell>
        </row>
        <row r="607">
          <cell r="M607" t="str">
            <v>Malerba</v>
          </cell>
          <cell r="N607">
            <v>1</v>
          </cell>
        </row>
        <row r="608">
          <cell r="M608" t="str">
            <v>Manoir_LesCedres</v>
          </cell>
          <cell r="N608">
            <v>1</v>
          </cell>
        </row>
        <row r="609">
          <cell r="M609" t="str">
            <v>Marine</v>
          </cell>
          <cell r="N609">
            <v>1</v>
          </cell>
        </row>
        <row r="610">
          <cell r="M610" t="str">
            <v>Mariton</v>
          </cell>
          <cell r="N610">
            <v>1</v>
          </cell>
        </row>
        <row r="611">
          <cell r="M611" t="str">
            <v>Mark Bric</v>
          </cell>
          <cell r="N611">
            <v>1</v>
          </cell>
        </row>
        <row r="612">
          <cell r="M612" t="str">
            <v>Marketiq</v>
          </cell>
          <cell r="N612">
            <v>1</v>
          </cell>
        </row>
        <row r="613">
          <cell r="M613" t="str">
            <v>Maxicards</v>
          </cell>
          <cell r="N613">
            <v>1</v>
          </cell>
        </row>
        <row r="614">
          <cell r="M614" t="str">
            <v>McCain</v>
          </cell>
          <cell r="N614">
            <v>1</v>
          </cell>
        </row>
        <row r="615">
          <cell r="M615" t="str">
            <v>McDonald</v>
          </cell>
          <cell r="N615">
            <v>1</v>
          </cell>
        </row>
        <row r="616">
          <cell r="M616" t="str">
            <v>Megamark</v>
          </cell>
          <cell r="N616">
            <v>1</v>
          </cell>
        </row>
        <row r="617">
          <cell r="M617" t="str">
            <v>Melbourne</v>
          </cell>
          <cell r="N617">
            <v>1</v>
          </cell>
        </row>
        <row r="618">
          <cell r="M618" t="str">
            <v>Mep-Print</v>
          </cell>
          <cell r="N618">
            <v>1</v>
          </cell>
        </row>
        <row r="619">
          <cell r="M619" t="str">
            <v>Mergui</v>
          </cell>
          <cell r="N619">
            <v>1</v>
          </cell>
        </row>
        <row r="620">
          <cell r="M620" t="str">
            <v>Michel_Simond</v>
          </cell>
          <cell r="N620">
            <v>1</v>
          </cell>
        </row>
        <row r="621">
          <cell r="M621" t="str">
            <v>Midas</v>
          </cell>
          <cell r="N621">
            <v>1</v>
          </cell>
        </row>
        <row r="622">
          <cell r="M622" t="str">
            <v>Mikit</v>
          </cell>
          <cell r="N622">
            <v>1</v>
          </cell>
        </row>
        <row r="623">
          <cell r="M623" t="str">
            <v>Millet_Alarmes</v>
          </cell>
          <cell r="N623">
            <v>1</v>
          </cell>
        </row>
        <row r="624">
          <cell r="M624" t="str">
            <v>MiniMag</v>
          </cell>
          <cell r="N624">
            <v>1</v>
          </cell>
        </row>
        <row r="625">
          <cell r="M625" t="str">
            <v>MiracleFAJR</v>
          </cell>
          <cell r="N625">
            <v>1</v>
          </cell>
        </row>
        <row r="626">
          <cell r="M626" t="str">
            <v>Molinel</v>
          </cell>
          <cell r="N626">
            <v>1</v>
          </cell>
        </row>
        <row r="627">
          <cell r="M627" t="str">
            <v>MondayBox</v>
          </cell>
          <cell r="N627">
            <v>1.1000000000000001</v>
          </cell>
        </row>
        <row r="628">
          <cell r="M628" t="str">
            <v>Montaz</v>
          </cell>
          <cell r="N628">
            <v>1.1000000000000001</v>
          </cell>
        </row>
        <row r="629">
          <cell r="M629" t="str">
            <v>Mottez</v>
          </cell>
          <cell r="N629">
            <v>1</v>
          </cell>
        </row>
        <row r="630">
          <cell r="M630" t="str">
            <v>MoulinageDuSolier</v>
          </cell>
          <cell r="N630">
            <v>1</v>
          </cell>
        </row>
        <row r="631">
          <cell r="M631" t="str">
            <v>MSCM</v>
          </cell>
          <cell r="N631">
            <v>1</v>
          </cell>
        </row>
        <row r="632">
          <cell r="M632" t="str">
            <v>MtaCom</v>
          </cell>
          <cell r="N632">
            <v>1</v>
          </cell>
        </row>
        <row r="633">
          <cell r="M633" t="str">
            <v>Multigraphic</v>
          </cell>
          <cell r="N633">
            <v>1</v>
          </cell>
        </row>
        <row r="634">
          <cell r="M634" t="str">
            <v>Nanotera</v>
          </cell>
          <cell r="N634">
            <v>1</v>
          </cell>
        </row>
        <row r="635">
          <cell r="M635" t="str">
            <v>Nash&amp;Young</v>
          </cell>
          <cell r="N635">
            <v>1</v>
          </cell>
        </row>
        <row r="636">
          <cell r="M636" t="str">
            <v>Nausicaa</v>
          </cell>
          <cell r="N636">
            <v>1</v>
          </cell>
        </row>
        <row r="637">
          <cell r="M637" t="str">
            <v>Nehia_Graphic_Industry</v>
          </cell>
          <cell r="N637">
            <v>1</v>
          </cell>
        </row>
        <row r="638">
          <cell r="M638" t="str">
            <v>Nord_Compo</v>
          </cell>
          <cell r="N638">
            <v>1</v>
          </cell>
        </row>
        <row r="639">
          <cell r="M639" t="str">
            <v>Nord_Image</v>
          </cell>
          <cell r="N639">
            <v>1</v>
          </cell>
        </row>
        <row r="640">
          <cell r="M640" t="str">
            <v>Nord_Transactions</v>
          </cell>
          <cell r="N640">
            <v>1</v>
          </cell>
        </row>
        <row r="641">
          <cell r="M641" t="str">
            <v>NordImprim</v>
          </cell>
          <cell r="N641">
            <v>1</v>
          </cell>
        </row>
        <row r="642">
          <cell r="M642" t="str">
            <v>Normal_Studio</v>
          </cell>
          <cell r="N642">
            <v>1</v>
          </cell>
        </row>
        <row r="643">
          <cell r="M643" t="str">
            <v>Normovie</v>
          </cell>
          <cell r="N643">
            <v>1</v>
          </cell>
        </row>
        <row r="644">
          <cell r="M644" t="str">
            <v>NOSC</v>
          </cell>
          <cell r="N644">
            <v>1</v>
          </cell>
        </row>
        <row r="645">
          <cell r="M645" t="str">
            <v>Notaire_Dhaene-Jonville</v>
          </cell>
          <cell r="N645">
            <v>1</v>
          </cell>
        </row>
        <row r="646">
          <cell r="M646" t="str">
            <v>Novelda</v>
          </cell>
          <cell r="N646">
            <v>1</v>
          </cell>
        </row>
        <row r="647">
          <cell r="M647" t="str">
            <v>OceaPrint</v>
          </cell>
          <cell r="N647">
            <v>1</v>
          </cell>
        </row>
        <row r="648">
          <cell r="M648" t="str">
            <v>Office_Tourisme_Calais</v>
          </cell>
          <cell r="N648">
            <v>1</v>
          </cell>
        </row>
        <row r="649">
          <cell r="M649" t="str">
            <v>Offset_Impression</v>
          </cell>
          <cell r="N649">
            <v>1</v>
          </cell>
        </row>
        <row r="650">
          <cell r="M650" t="str">
            <v>Ogarun</v>
          </cell>
          <cell r="N650">
            <v>1</v>
          </cell>
        </row>
        <row r="651">
          <cell r="M651" t="str">
            <v>OH Studio</v>
          </cell>
          <cell r="N651">
            <v>1</v>
          </cell>
        </row>
        <row r="652">
          <cell r="M652" t="str">
            <v>Okoni</v>
          </cell>
          <cell r="N652">
            <v>1</v>
          </cell>
        </row>
        <row r="653">
          <cell r="M653" t="str">
            <v>Olivier_Martinache</v>
          </cell>
          <cell r="N653">
            <v>1</v>
          </cell>
        </row>
        <row r="654">
          <cell r="M654" t="str">
            <v>Oneflor</v>
          </cell>
          <cell r="N654">
            <v>1</v>
          </cell>
        </row>
        <row r="655">
          <cell r="M655" t="str">
            <v>Opaline</v>
          </cell>
          <cell r="N655">
            <v>1</v>
          </cell>
        </row>
        <row r="656">
          <cell r="M656" t="str">
            <v>Opica</v>
          </cell>
          <cell r="N656">
            <v>1</v>
          </cell>
        </row>
        <row r="657">
          <cell r="M657" t="str">
            <v>OPM</v>
          </cell>
          <cell r="N657">
            <v>1</v>
          </cell>
        </row>
        <row r="658">
          <cell r="M658" t="str">
            <v>Oxalys</v>
          </cell>
          <cell r="N658">
            <v>1</v>
          </cell>
        </row>
        <row r="659">
          <cell r="M659" t="str">
            <v>Ozalyd</v>
          </cell>
          <cell r="N659">
            <v>1</v>
          </cell>
        </row>
        <row r="660">
          <cell r="M660" t="str">
            <v>Ozon</v>
          </cell>
          <cell r="N660">
            <v>1</v>
          </cell>
        </row>
        <row r="661">
          <cell r="M661" t="str">
            <v>Païta_Communication</v>
          </cell>
          <cell r="N661">
            <v>1</v>
          </cell>
        </row>
        <row r="662">
          <cell r="M662" t="str">
            <v>Panoply</v>
          </cell>
          <cell r="N662">
            <v>1</v>
          </cell>
        </row>
        <row r="663">
          <cell r="M663" t="str">
            <v>Papier_Vert</v>
          </cell>
          <cell r="N663">
            <v>1</v>
          </cell>
        </row>
        <row r="664">
          <cell r="M664" t="str">
            <v>Papivore</v>
          </cell>
          <cell r="N664">
            <v>1</v>
          </cell>
        </row>
        <row r="665">
          <cell r="M665" t="str">
            <v>Paragon</v>
          </cell>
          <cell r="N665">
            <v>1.05</v>
          </cell>
        </row>
        <row r="666">
          <cell r="M666" t="str">
            <v>Partenaire_Graphique</v>
          </cell>
          <cell r="N666">
            <v>1</v>
          </cell>
        </row>
        <row r="667">
          <cell r="M667" t="str">
            <v>Partener_Systemes</v>
          </cell>
          <cell r="N667">
            <v>1</v>
          </cell>
        </row>
        <row r="668">
          <cell r="M668" t="str">
            <v>Pascal_Armand</v>
          </cell>
          <cell r="N668">
            <v>1</v>
          </cell>
        </row>
        <row r="669">
          <cell r="M669" t="str">
            <v>Passion_Graphic</v>
          </cell>
          <cell r="N669">
            <v>1</v>
          </cell>
        </row>
        <row r="670">
          <cell r="M670" t="str">
            <v>Pauwels</v>
          </cell>
          <cell r="N670">
            <v>1</v>
          </cell>
        </row>
        <row r="671">
          <cell r="M671" t="str">
            <v>PerfectMix</v>
          </cell>
          <cell r="N671">
            <v>1</v>
          </cell>
        </row>
        <row r="672">
          <cell r="M672" t="str">
            <v>Phildar</v>
          </cell>
          <cell r="N672">
            <v>1</v>
          </cell>
        </row>
        <row r="673">
          <cell r="M673" t="str">
            <v>PhilippeCliquennois</v>
          </cell>
          <cell r="N673">
            <v>1</v>
          </cell>
        </row>
        <row r="674">
          <cell r="M674" t="str">
            <v>PIDF</v>
          </cell>
          <cell r="N674">
            <v>1</v>
          </cell>
        </row>
        <row r="675">
          <cell r="M675" t="str">
            <v>Pilotes_PLV</v>
          </cell>
          <cell r="N675">
            <v>1</v>
          </cell>
        </row>
        <row r="676">
          <cell r="M676" t="str">
            <v>Pimkie</v>
          </cell>
          <cell r="N676">
            <v>1</v>
          </cell>
        </row>
        <row r="677">
          <cell r="M677" t="str">
            <v>Piraino</v>
          </cell>
          <cell r="N677">
            <v>1</v>
          </cell>
        </row>
        <row r="678">
          <cell r="M678" t="str">
            <v>Plateforme_Bâtiment</v>
          </cell>
          <cell r="N678">
            <v>1</v>
          </cell>
        </row>
        <row r="679">
          <cell r="M679" t="str">
            <v>PLV_Communication</v>
          </cell>
          <cell r="N679">
            <v>1</v>
          </cell>
        </row>
        <row r="680">
          <cell r="M680" t="str">
            <v>PLV360</v>
          </cell>
          <cell r="N680">
            <v>1</v>
          </cell>
        </row>
        <row r="681">
          <cell r="M681" t="str">
            <v>Pocheco</v>
          </cell>
          <cell r="N681">
            <v>1</v>
          </cell>
        </row>
        <row r="682">
          <cell r="M682" t="str">
            <v>Pole_Position</v>
          </cell>
          <cell r="N682">
            <v>1</v>
          </cell>
        </row>
        <row r="683">
          <cell r="M683" t="str">
            <v>Polytropic</v>
          </cell>
          <cell r="N683">
            <v>1</v>
          </cell>
        </row>
        <row r="684">
          <cell r="M684" t="str">
            <v>Ponceblanc</v>
          </cell>
          <cell r="N684">
            <v>1</v>
          </cell>
        </row>
        <row r="685">
          <cell r="M685" t="str">
            <v>Poupon</v>
          </cell>
          <cell r="N685">
            <v>1</v>
          </cell>
        </row>
        <row r="686">
          <cell r="M686" t="str">
            <v>Pream</v>
          </cell>
          <cell r="N686">
            <v>1</v>
          </cell>
        </row>
        <row r="687">
          <cell r="M687" t="str">
            <v>Presse_Flamande</v>
          </cell>
          <cell r="N687">
            <v>1</v>
          </cell>
        </row>
        <row r="688">
          <cell r="M688" t="str">
            <v>PrestAgency</v>
          </cell>
          <cell r="N688">
            <v>1</v>
          </cell>
        </row>
        <row r="689">
          <cell r="M689" t="str">
            <v>Print_Corp_Group</v>
          </cell>
          <cell r="N689">
            <v>1</v>
          </cell>
        </row>
        <row r="690">
          <cell r="M690" t="str">
            <v>PrintVallee</v>
          </cell>
          <cell r="N690">
            <v>1</v>
          </cell>
        </row>
        <row r="691">
          <cell r="M691" t="str">
            <v>Printymania</v>
          </cell>
          <cell r="N691">
            <v>1.1000000000000001</v>
          </cell>
        </row>
        <row r="692">
          <cell r="M692" t="str">
            <v>Pro-G</v>
          </cell>
          <cell r="N692">
            <v>1</v>
          </cell>
        </row>
        <row r="693">
          <cell r="M693" t="str">
            <v>Promoplus</v>
          </cell>
          <cell r="N693">
            <v>1</v>
          </cell>
        </row>
        <row r="694">
          <cell r="M694" t="str">
            <v>Propyca</v>
          </cell>
          <cell r="N694">
            <v>1</v>
          </cell>
        </row>
        <row r="695">
          <cell r="M695" t="str">
            <v>Prospect</v>
          </cell>
          <cell r="N695">
            <v>1</v>
          </cell>
        </row>
        <row r="696">
          <cell r="M696" t="str">
            <v>Prune&amp;Mangue</v>
          </cell>
          <cell r="N696">
            <v>1</v>
          </cell>
        </row>
        <row r="697">
          <cell r="M697" t="str">
            <v>PSI</v>
          </cell>
          <cell r="N697">
            <v>1</v>
          </cell>
        </row>
        <row r="698">
          <cell r="M698" t="str">
            <v>Publicis_Groupe</v>
          </cell>
          <cell r="N698">
            <v>1</v>
          </cell>
        </row>
        <row r="699">
          <cell r="M699" t="str">
            <v>PubliScreen</v>
          </cell>
          <cell r="N699">
            <v>1</v>
          </cell>
        </row>
        <row r="700">
          <cell r="M700" t="str">
            <v>Pytharec</v>
          </cell>
          <cell r="N700">
            <v>1</v>
          </cell>
        </row>
        <row r="701">
          <cell r="M701" t="str">
            <v>Rabot_Dutilleul</v>
          </cell>
          <cell r="N701">
            <v>1</v>
          </cell>
        </row>
        <row r="702">
          <cell r="M702" t="str">
            <v>Rachel_Bahia</v>
          </cell>
          <cell r="N702">
            <v>1</v>
          </cell>
        </row>
        <row r="703">
          <cell r="M703" t="str">
            <v>Reaprint</v>
          </cell>
          <cell r="N703">
            <v>1</v>
          </cell>
        </row>
        <row r="704">
          <cell r="M704" t="str">
            <v>Reflectiv</v>
          </cell>
          <cell r="N704">
            <v>1</v>
          </cell>
        </row>
        <row r="705">
          <cell r="M705" t="str">
            <v>Reims_Copie</v>
          </cell>
          <cell r="N705">
            <v>1</v>
          </cell>
        </row>
        <row r="706">
          <cell r="M706" t="str">
            <v>RemorqueDuNord</v>
          </cell>
          <cell r="N706">
            <v>1</v>
          </cell>
        </row>
        <row r="707">
          <cell r="M707" t="str">
            <v>Resolution</v>
          </cell>
          <cell r="N707">
            <v>1</v>
          </cell>
        </row>
        <row r="708">
          <cell r="M708" t="str">
            <v>Restaurant_Balsamique</v>
          </cell>
          <cell r="N708">
            <v>1</v>
          </cell>
        </row>
        <row r="709">
          <cell r="M709" t="str">
            <v>Restaurant_LEquipage</v>
          </cell>
          <cell r="N709">
            <v>1</v>
          </cell>
        </row>
        <row r="710">
          <cell r="M710" t="str">
            <v>REV</v>
          </cell>
          <cell r="N710">
            <v>1</v>
          </cell>
        </row>
        <row r="711">
          <cell r="M711" t="str">
            <v>Rhod_Imprim</v>
          </cell>
          <cell r="N711">
            <v>1</v>
          </cell>
        </row>
        <row r="712">
          <cell r="M712" t="str">
            <v>Riccobono</v>
          </cell>
          <cell r="N712">
            <v>1</v>
          </cell>
        </row>
        <row r="713">
          <cell r="M713" t="str">
            <v>Riga</v>
          </cell>
          <cell r="N713">
            <v>1</v>
          </cell>
        </row>
        <row r="714">
          <cell r="M714" t="str">
            <v>RIX</v>
          </cell>
          <cell r="N714">
            <v>1</v>
          </cell>
        </row>
        <row r="715">
          <cell r="M715" t="str">
            <v>RN_Fragrance</v>
          </cell>
          <cell r="N715">
            <v>1</v>
          </cell>
        </row>
        <row r="716">
          <cell r="M716" t="str">
            <v>Roger_Almeida</v>
          </cell>
          <cell r="N716">
            <v>1</v>
          </cell>
        </row>
        <row r="717">
          <cell r="M717" t="str">
            <v>Romus</v>
          </cell>
          <cell r="N717">
            <v>1</v>
          </cell>
        </row>
        <row r="718">
          <cell r="M718" t="str">
            <v>Rose_Trame</v>
          </cell>
          <cell r="N718">
            <v>1</v>
          </cell>
        </row>
        <row r="719">
          <cell r="M719" t="str">
            <v>Rouge_Gorge</v>
          </cell>
          <cell r="N719">
            <v>1</v>
          </cell>
        </row>
        <row r="720">
          <cell r="M720" t="str">
            <v>Routin</v>
          </cell>
          <cell r="N720">
            <v>1</v>
          </cell>
        </row>
        <row r="721">
          <cell r="M721" t="str">
            <v>Rubis_Lune_Studio</v>
          </cell>
          <cell r="N721">
            <v>1</v>
          </cell>
        </row>
        <row r="722">
          <cell r="M722" t="str">
            <v>Saatchi</v>
          </cell>
          <cell r="N722">
            <v>1</v>
          </cell>
        </row>
        <row r="723">
          <cell r="M723" t="str">
            <v>Sahinler</v>
          </cell>
          <cell r="N723">
            <v>1</v>
          </cell>
        </row>
        <row r="724">
          <cell r="M724" t="str">
            <v>Salagnac</v>
          </cell>
          <cell r="N724">
            <v>1</v>
          </cell>
        </row>
        <row r="725">
          <cell r="M725" t="str">
            <v>Salti</v>
          </cell>
          <cell r="N725">
            <v>1</v>
          </cell>
        </row>
        <row r="726">
          <cell r="M726" t="str">
            <v>SAS</v>
          </cell>
          <cell r="N726">
            <v>1</v>
          </cell>
        </row>
        <row r="727">
          <cell r="M727" t="str">
            <v>Savarez</v>
          </cell>
          <cell r="N727">
            <v>1</v>
          </cell>
        </row>
        <row r="728">
          <cell r="M728" t="str">
            <v>SCICP</v>
          </cell>
          <cell r="N728">
            <v>1</v>
          </cell>
        </row>
        <row r="729">
          <cell r="M729" t="str">
            <v>Sébastien_Viane</v>
          </cell>
          <cell r="N729">
            <v>1</v>
          </cell>
        </row>
        <row r="730">
          <cell r="M730" t="str">
            <v>Serenad</v>
          </cell>
          <cell r="N730">
            <v>1</v>
          </cell>
        </row>
        <row r="731">
          <cell r="M731" t="str">
            <v>Serge</v>
          </cell>
          <cell r="N731">
            <v>1</v>
          </cell>
        </row>
        <row r="732">
          <cell r="M732" t="str">
            <v>Sérigraphie_Debuck</v>
          </cell>
          <cell r="N732">
            <v>1</v>
          </cell>
        </row>
        <row r="733">
          <cell r="M733" t="str">
            <v>Service_Plan_Solutions</v>
          </cell>
          <cell r="N733">
            <v>1</v>
          </cell>
        </row>
        <row r="734">
          <cell r="M734" t="str">
            <v>Seyfert</v>
          </cell>
          <cell r="N734">
            <v>1</v>
          </cell>
        </row>
        <row r="735">
          <cell r="M735" t="str">
            <v>Signal_2108</v>
          </cell>
          <cell r="N735">
            <v>1</v>
          </cell>
        </row>
        <row r="736">
          <cell r="M736" t="str">
            <v>Sipa</v>
          </cell>
          <cell r="N736">
            <v>1</v>
          </cell>
        </row>
        <row r="737">
          <cell r="M737" t="str">
            <v>Sirocco</v>
          </cell>
          <cell r="N737">
            <v>1</v>
          </cell>
        </row>
        <row r="738">
          <cell r="M738" t="str">
            <v>Skimp</v>
          </cell>
          <cell r="N738">
            <v>1</v>
          </cell>
        </row>
        <row r="739">
          <cell r="M739" t="str">
            <v>Société_Alizé</v>
          </cell>
          <cell r="N739">
            <v>1</v>
          </cell>
        </row>
        <row r="740">
          <cell r="M740" t="str">
            <v>Société_Annex</v>
          </cell>
          <cell r="N740">
            <v>1</v>
          </cell>
        </row>
        <row r="741">
          <cell r="M741" t="str">
            <v>Société_Martin</v>
          </cell>
          <cell r="N741">
            <v>1</v>
          </cell>
        </row>
        <row r="742">
          <cell r="M742" t="str">
            <v>Socooc</v>
          </cell>
          <cell r="N742">
            <v>1</v>
          </cell>
        </row>
        <row r="743">
          <cell r="M743" t="str">
            <v>Sodinor</v>
          </cell>
          <cell r="N743">
            <v>1</v>
          </cell>
        </row>
        <row r="744">
          <cell r="M744" t="str">
            <v>Sofima</v>
          </cell>
          <cell r="N744">
            <v>1</v>
          </cell>
        </row>
        <row r="745">
          <cell r="M745" t="str">
            <v>Sokoa</v>
          </cell>
          <cell r="N745">
            <v>1</v>
          </cell>
        </row>
        <row r="746">
          <cell r="M746" t="str">
            <v>Solulev</v>
          </cell>
          <cell r="N746">
            <v>1</v>
          </cell>
        </row>
        <row r="747">
          <cell r="M747" t="str">
            <v>Soluprint</v>
          </cell>
          <cell r="N747">
            <v>1</v>
          </cell>
        </row>
        <row r="748">
          <cell r="M748" t="str">
            <v>Solutions_Print</v>
          </cell>
          <cell r="N748">
            <v>1</v>
          </cell>
        </row>
        <row r="749">
          <cell r="M749" t="str">
            <v>Sommer</v>
          </cell>
          <cell r="N749">
            <v>1</v>
          </cell>
        </row>
        <row r="750">
          <cell r="M750" t="str">
            <v>Soprint_Optimum</v>
          </cell>
          <cell r="N750">
            <v>1</v>
          </cell>
        </row>
        <row r="751">
          <cell r="M751" t="str">
            <v>Soprofen</v>
          </cell>
          <cell r="N751">
            <v>1</v>
          </cell>
        </row>
        <row r="752">
          <cell r="M752" t="str">
            <v>Sorra</v>
          </cell>
          <cell r="N752">
            <v>1</v>
          </cell>
        </row>
        <row r="753">
          <cell r="M753" t="str">
            <v>Sowatson</v>
          </cell>
          <cell r="N753">
            <v>1</v>
          </cell>
        </row>
        <row r="754">
          <cell r="M754" t="str">
            <v>Sparte_Production</v>
          </cell>
          <cell r="N754">
            <v>1</v>
          </cell>
        </row>
        <row r="755">
          <cell r="M755" t="str">
            <v>SPM</v>
          </cell>
          <cell r="N755">
            <v>1</v>
          </cell>
        </row>
        <row r="756">
          <cell r="M756" t="str">
            <v>StarckUp</v>
          </cell>
          <cell r="N756">
            <v>1</v>
          </cell>
        </row>
        <row r="757">
          <cell r="M757" t="str">
            <v>Stella</v>
          </cell>
          <cell r="N757">
            <v>1</v>
          </cell>
        </row>
        <row r="758">
          <cell r="M758" t="str">
            <v>Stellaire</v>
          </cell>
          <cell r="N758">
            <v>1</v>
          </cell>
        </row>
        <row r="759">
          <cell r="M759" t="str">
            <v>Stephan</v>
          </cell>
          <cell r="N759">
            <v>1</v>
          </cell>
        </row>
        <row r="760">
          <cell r="M760" t="str">
            <v>Stéphane_Prevost</v>
          </cell>
          <cell r="N760">
            <v>1</v>
          </cell>
        </row>
        <row r="761">
          <cell r="M761" t="str">
            <v>STMP</v>
          </cell>
          <cell r="N761">
            <v>1</v>
          </cell>
        </row>
        <row r="762">
          <cell r="M762" t="str">
            <v>Studio_Edipole</v>
          </cell>
          <cell r="N762">
            <v>1</v>
          </cell>
        </row>
        <row r="763">
          <cell r="M763" t="str">
            <v>Studio_Octopus</v>
          </cell>
          <cell r="N763">
            <v>1</v>
          </cell>
        </row>
        <row r="764">
          <cell r="M764" t="str">
            <v>Studio201</v>
          </cell>
          <cell r="N764">
            <v>1</v>
          </cell>
        </row>
        <row r="765">
          <cell r="M765" t="str">
            <v>Studioptik</v>
          </cell>
          <cell r="N765">
            <v>1</v>
          </cell>
        </row>
        <row r="766">
          <cell r="M766" t="str">
            <v>Subrenat</v>
          </cell>
          <cell r="N766">
            <v>1</v>
          </cell>
        </row>
        <row r="767">
          <cell r="M767" t="str">
            <v>Sude_Communication</v>
          </cell>
          <cell r="N767">
            <v>1</v>
          </cell>
        </row>
        <row r="768">
          <cell r="M768" t="str">
            <v>SunConfex</v>
          </cell>
          <cell r="N768">
            <v>1</v>
          </cell>
        </row>
        <row r="769">
          <cell r="M769" t="str">
            <v>SunConfex</v>
          </cell>
          <cell r="N769">
            <v>1</v>
          </cell>
        </row>
        <row r="770">
          <cell r="M770" t="str">
            <v>SuperSigns_Studio</v>
          </cell>
          <cell r="N770">
            <v>1</v>
          </cell>
        </row>
        <row r="771">
          <cell r="M771" t="str">
            <v>SupInterim</v>
          </cell>
          <cell r="N771">
            <v>1</v>
          </cell>
        </row>
        <row r="772">
          <cell r="M772" t="str">
            <v>Supra</v>
          </cell>
          <cell r="N772">
            <v>1</v>
          </cell>
        </row>
        <row r="773">
          <cell r="M773" t="str">
            <v>Sycko</v>
          </cell>
          <cell r="N773">
            <v>1</v>
          </cell>
        </row>
        <row r="774">
          <cell r="M774" t="str">
            <v>Talesca</v>
          </cell>
          <cell r="N774">
            <v>1</v>
          </cell>
        </row>
        <row r="775">
          <cell r="M775" t="str">
            <v>Tapis_Benoit</v>
          </cell>
          <cell r="N775">
            <v>1</v>
          </cell>
        </row>
        <row r="776">
          <cell r="M776" t="str">
            <v>Tarkett</v>
          </cell>
          <cell r="N776">
            <v>1</v>
          </cell>
        </row>
        <row r="777">
          <cell r="M777" t="str">
            <v>Tatanka</v>
          </cell>
          <cell r="N777">
            <v>1</v>
          </cell>
        </row>
        <row r="778">
          <cell r="M778" t="str">
            <v>TaverneDesCafés</v>
          </cell>
          <cell r="N778">
            <v>1</v>
          </cell>
        </row>
        <row r="779">
          <cell r="M779" t="str">
            <v>TechCom</v>
          </cell>
          <cell r="N779">
            <v>1</v>
          </cell>
        </row>
        <row r="780">
          <cell r="M780" t="str">
            <v>Techni_Com</v>
          </cell>
          <cell r="N780">
            <v>1</v>
          </cell>
        </row>
        <row r="781">
          <cell r="M781" t="str">
            <v>Techni_Toit_Isolation</v>
          </cell>
          <cell r="N781">
            <v>1</v>
          </cell>
        </row>
        <row r="782">
          <cell r="M782" t="str">
            <v>Technisom</v>
          </cell>
          <cell r="N782">
            <v>1</v>
          </cell>
        </row>
        <row r="783">
          <cell r="M783" t="str">
            <v>Teebird</v>
          </cell>
          <cell r="N783">
            <v>1</v>
          </cell>
        </row>
        <row r="784">
          <cell r="M784" t="str">
            <v>Tekpresse</v>
          </cell>
          <cell r="N784">
            <v>1</v>
          </cell>
        </row>
        <row r="785">
          <cell r="M785" t="str">
            <v>Teocom</v>
          </cell>
          <cell r="N785">
            <v>1</v>
          </cell>
        </row>
        <row r="786">
          <cell r="M786" t="str">
            <v>Terra_Publica</v>
          </cell>
          <cell r="N786">
            <v>1</v>
          </cell>
        </row>
        <row r="787">
          <cell r="M787" t="str">
            <v>TexDecor</v>
          </cell>
          <cell r="N787">
            <v>1</v>
          </cell>
        </row>
        <row r="788">
          <cell r="M788" t="str">
            <v>TF_Communication</v>
          </cell>
          <cell r="N788">
            <v>1</v>
          </cell>
        </row>
        <row r="789">
          <cell r="M789" t="str">
            <v>Thera_Concept</v>
          </cell>
          <cell r="N789">
            <v>1</v>
          </cell>
        </row>
        <row r="790">
          <cell r="M790" t="str">
            <v>Thibierge-Comar (T&amp;C)</v>
          </cell>
          <cell r="N790">
            <v>1</v>
          </cell>
        </row>
        <row r="791">
          <cell r="M791" t="str">
            <v>Thierry_Vermeiren</v>
          </cell>
          <cell r="N791">
            <v>1.1000000000000001</v>
          </cell>
        </row>
        <row r="792">
          <cell r="M792" t="str">
            <v>Thiriez_Literie</v>
          </cell>
          <cell r="N792">
            <v>1</v>
          </cell>
        </row>
        <row r="793">
          <cell r="M793" t="str">
            <v>Thomas_Romain</v>
          </cell>
          <cell r="N793">
            <v>1</v>
          </cell>
        </row>
        <row r="794">
          <cell r="M794" t="str">
            <v>Thyssenkrupp</v>
          </cell>
          <cell r="N794">
            <v>1</v>
          </cell>
        </row>
        <row r="795">
          <cell r="M795" t="str">
            <v>Ticket_Promo</v>
          </cell>
          <cell r="N795">
            <v>1</v>
          </cell>
        </row>
        <row r="796">
          <cell r="M796" t="str">
            <v>TimeExpression</v>
          </cell>
          <cell r="N796">
            <v>1</v>
          </cell>
        </row>
        <row r="797">
          <cell r="M797" t="str">
            <v>Topiara_Paysage</v>
          </cell>
          <cell r="N797">
            <v>1</v>
          </cell>
        </row>
        <row r="798">
          <cell r="M798" t="str">
            <v>Tostain&amp;Laffineur</v>
          </cell>
          <cell r="N798">
            <v>1</v>
          </cell>
        </row>
        <row r="799">
          <cell r="M799" t="str">
            <v>Touch &amp; Go</v>
          </cell>
          <cell r="N799">
            <v>1</v>
          </cell>
        </row>
        <row r="800">
          <cell r="M800" t="str">
            <v>TraceArchitectures</v>
          </cell>
          <cell r="N800">
            <v>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9">
    <outlinePr summaryBelow="1" summaryRight="1"/>
    <pageSetUpPr autoPageBreaks="0"/>
  </sheetPr>
  <dimension ref="A1:T438"/>
  <sheetViews>
    <sheetView showGridLines="0" showZeros="0" tabSelected="1" topLeftCell="G1" zoomScaleNormal="100" workbookViewId="0">
      <pane ySplit="3" topLeftCell="A9" activePane="bottomLeft" state="frozen"/>
      <selection activeCell="A12" sqref="A12"/>
      <selection pane="bottomLeft" activeCell="S108" sqref="S108"/>
    </sheetView>
  </sheetViews>
  <sheetFormatPr baseColWidth="10" defaultRowHeight="13.2"/>
  <cols>
    <col width="3.6640625" customWidth="1" style="85" min="1" max="1"/>
    <col width="4.88671875" customWidth="1" style="85" min="2" max="2"/>
    <col width="11.5546875" bestFit="1" customWidth="1" style="85" min="5" max="5"/>
    <col width="11.5546875" bestFit="1" customWidth="1" style="85" min="8" max="8"/>
    <col width="12" bestFit="1" customWidth="1" style="85" min="9" max="9"/>
    <col width="11.88671875" bestFit="1" customWidth="1" style="85" min="16" max="17"/>
    <col width="11.88671875" customWidth="1" style="85" min="18" max="18"/>
    <col width="12.109375" customWidth="1" style="85" min="19" max="19"/>
  </cols>
  <sheetData>
    <row r="1"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C2" s="1" t="n"/>
      <c r="D2" s="1" t="inlineStr">
        <is>
          <t>Référence :</t>
        </is>
      </c>
      <c r="E2" s="2" t="n">
        <v>500</v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21.6" customHeight="1" s="85" thickBo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L4" s="4" t="n"/>
    </row>
    <row r="5" ht="12.75" customHeight="1" s="85">
      <c r="A5" s="3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  <c r="L5" s="107" t="inlineStr">
        <is>
          <t>Dossier de fabrication</t>
        </is>
      </c>
      <c r="M5" s="108" t="n"/>
      <c r="N5" s="108" t="n"/>
      <c r="O5" s="108" t="n"/>
      <c r="P5" s="108" t="n"/>
      <c r="Q5" s="109" t="n"/>
      <c r="R5" s="10" t="n"/>
      <c r="S5" s="11" t="n"/>
    </row>
    <row r="6" ht="13.5" customHeight="1" s="85" thickBot="1">
      <c r="A6" s="3" t="n"/>
      <c r="B6" s="5" t="n"/>
      <c r="C6" s="5" t="n"/>
      <c r="D6" s="5" t="n"/>
      <c r="E6" s="5" t="n"/>
      <c r="F6" s="5" t="n"/>
      <c r="G6" s="5" t="n"/>
      <c r="H6" s="5" t="n"/>
      <c r="I6" s="5" t="n"/>
      <c r="J6" s="6" t="n"/>
      <c r="L6" s="110" t="n"/>
      <c r="M6" s="111" t="n"/>
      <c r="N6" s="111" t="n"/>
      <c r="O6" s="111" t="n"/>
      <c r="P6" s="111" t="n"/>
      <c r="Q6" s="112" t="n"/>
      <c r="R6" s="10" t="n"/>
      <c r="S6" s="11" t="n"/>
    </row>
    <row r="7" ht="12.75" customHeight="1" s="85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L7" s="15" t="n"/>
      <c r="M7" s="15" t="n"/>
      <c r="N7" s="15" t="n"/>
      <c r="O7" s="15" t="n"/>
      <c r="P7" s="15" t="n"/>
      <c r="Q7" s="15" t="n"/>
      <c r="R7" s="6" t="n"/>
      <c r="S7" s="6" t="n"/>
    </row>
    <row r="8">
      <c r="A8" s="3" t="n"/>
      <c r="B8" s="3" t="n"/>
      <c r="C8" s="3" t="inlineStr">
        <is>
          <t>Départ</t>
        </is>
      </c>
      <c r="D8" s="16" t="n"/>
      <c r="E8" s="3" t="n"/>
      <c r="F8" s="3" t="n"/>
      <c r="G8" s="3" t="n"/>
      <c r="H8" s="3" t="n"/>
      <c r="I8" s="3" t="n"/>
      <c r="L8" t="inlineStr">
        <is>
          <t>N° devis</t>
        </is>
      </c>
      <c r="M8" s="113" t="n"/>
      <c r="N8" s="114" t="n"/>
      <c r="P8" s="59" t="n"/>
    </row>
    <row r="9">
      <c r="A9" s="3" t="n"/>
      <c r="B9" s="3" t="n"/>
      <c r="C9" s="3" t="inlineStr">
        <is>
          <t>Franco</t>
        </is>
      </c>
      <c r="D9" s="16" t="n"/>
      <c r="E9" s="3" t="n"/>
      <c r="F9" s="3" t="n"/>
      <c r="G9" s="3" t="n"/>
      <c r="H9" s="3" t="n"/>
      <c r="I9" s="3" t="n"/>
      <c r="L9" t="inlineStr">
        <is>
          <t>N° dossier</t>
        </is>
      </c>
      <c r="M9" s="113" t="n"/>
      <c r="N9" s="114" t="n"/>
      <c r="P9" s="84" t="inlineStr">
        <is>
          <t>Date :</t>
        </is>
      </c>
      <c r="Q9" s="21">
        <f>TODAY()</f>
        <v/>
      </c>
    </row>
    <row r="10">
      <c r="A10" s="3" t="n"/>
      <c r="B10" s="3" t="n"/>
      <c r="C10" s="3" t="inlineStr">
        <is>
          <t>Catégorie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L11" t="inlineStr">
        <is>
          <t>Client :</t>
        </is>
      </c>
      <c r="M11" s="115" t="inlineStr"/>
      <c r="N11" s="116" t="n"/>
      <c r="O11" s="116" t="n"/>
      <c r="P11" s="116" t="n"/>
      <c r="Q11" s="116" t="n"/>
      <c r="R11" s="116" t="n"/>
      <c r="S11" s="11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L12" t="inlineStr">
        <is>
          <t>Contact :</t>
        </is>
      </c>
      <c r="M12" s="115" t="inlineStr">
        <is>
          <t>Inconnu</t>
        </is>
      </c>
      <c r="N12" s="116" t="n"/>
      <c r="O12" s="116" t="n"/>
      <c r="P12" s="116" t="n"/>
      <c r="Q12" s="116" t="n"/>
      <c r="R12" s="116" t="n"/>
      <c r="S12" s="11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L13" t="inlineStr">
        <is>
          <t>Téléphone :</t>
        </is>
      </c>
      <c r="M13" s="117" t="inlineStr">
        <is>
          <t>Inconnu</t>
        </is>
      </c>
      <c r="N13" s="86" t="n"/>
      <c r="P13" s="24" t="n"/>
      <c r="Q13" s="116" t="n"/>
      <c r="R13" s="116" t="n"/>
      <c r="S13" s="11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L14" t="inlineStr">
        <is>
          <t>Référence :</t>
        </is>
      </c>
      <c r="M14" s="115" t="n">
        <v>500</v>
      </c>
      <c r="N14" s="116" t="n"/>
      <c r="O14" s="116" t="n"/>
      <c r="P14" s="116" t="n"/>
      <c r="Q14" s="116" t="n"/>
      <c r="R14" s="116" t="n"/>
      <c r="S14" s="11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L16" s="29" t="inlineStr">
        <is>
          <t>Quantité commandée</t>
        </is>
      </c>
      <c r="N16" s="34" t="n">
        <v>50</v>
      </c>
      <c r="O16" s="33" t="n"/>
      <c r="P16" s="29" t="n"/>
    </row>
    <row r="17" ht="13.8" customHeight="1" s="85" thickBo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3.8" customHeight="1" s="85" thickBo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L18" s="118" t="inlineStr">
        <is>
          <t>Pré-presse</t>
        </is>
      </c>
      <c r="M18" s="119" t="n"/>
      <c r="N18" s="119" t="n"/>
      <c r="O18" s="119" t="n"/>
      <c r="P18" s="119" t="n"/>
      <c r="Q18" s="119" t="n"/>
      <c r="R18" s="119" t="n"/>
      <c r="S18" s="120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L20" s="29" t="n"/>
      <c r="N20" s="33" t="n"/>
      <c r="O20" s="34" t="n"/>
      <c r="P20" s="29" t="n"/>
      <c r="R20" s="34" t="n"/>
      <c r="S20" s="3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L21" s="29" t="n"/>
      <c r="N21" s="34" t="n"/>
      <c r="O21" s="33" t="n"/>
      <c r="P21" s="3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L22" s="29" t="n"/>
      <c r="N22" s="34" t="n"/>
      <c r="O22" s="33" t="n"/>
    </row>
    <row r="23" ht="13.8" customHeight="1" s="85" thickBo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13.8" customHeight="1" s="85" thickBo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L24" s="118" t="inlineStr">
        <is>
          <t>Descriptif</t>
        </is>
      </c>
      <c r="M24" s="119" t="n"/>
      <c r="N24" s="119" t="n"/>
      <c r="O24" s="119" t="n"/>
      <c r="P24" s="119" t="n"/>
      <c r="Q24" s="119" t="n"/>
      <c r="R24" s="119" t="n"/>
      <c r="S24" s="120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L26" s="121" t="n"/>
      <c r="M26" s="122" t="n"/>
      <c r="N26" s="122" t="n"/>
      <c r="O26" s="122" t="n"/>
      <c r="P26" s="122" t="n"/>
      <c r="Q26" s="122" t="n"/>
      <c r="R26" s="122" t="n"/>
      <c r="S26" s="9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L27" s="123" t="n"/>
      <c r="S27" s="86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L28" s="123" t="n"/>
      <c r="S28" s="86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L29" s="123" t="n"/>
      <c r="S29" s="86" t="n"/>
    </row>
    <row r="30">
      <c r="A30" s="84" t="n"/>
      <c r="B30" s="84" t="n"/>
      <c r="C30" s="84" t="n"/>
      <c r="D30" s="84" t="n"/>
      <c r="E30" s="84" t="n"/>
      <c r="F30" s="84" t="n"/>
      <c r="G30" s="84" t="n"/>
      <c r="L30" s="123" t="n"/>
      <c r="S30" s="86" t="n"/>
    </row>
    <row r="31">
      <c r="A31" s="84" t="n"/>
      <c r="B31" s="84" t="n"/>
      <c r="C31" s="84" t="n"/>
      <c r="D31" s="84" t="n"/>
      <c r="E31" s="84" t="n"/>
      <c r="F31" s="84" t="n"/>
      <c r="G31" s="84" t="n"/>
      <c r="L31" s="123" t="n"/>
      <c r="S31" s="86" t="n"/>
    </row>
    <row r="32">
      <c r="A32" s="84" t="n"/>
      <c r="B32" s="84" t="n"/>
      <c r="C32" s="84" t="n"/>
      <c r="D32" s="84" t="n"/>
      <c r="E32" s="84" t="n"/>
      <c r="F32" s="84" t="n"/>
      <c r="G32" s="84" t="n"/>
      <c r="L32" s="123" t="n"/>
      <c r="S32" s="86" t="n"/>
    </row>
    <row r="33">
      <c r="L33" s="123" t="n"/>
      <c r="S33" s="86" t="n"/>
    </row>
    <row r="34">
      <c r="L34" s="123" t="n"/>
      <c r="S34" s="86" t="n"/>
    </row>
    <row r="35">
      <c r="L35" s="123" t="n"/>
      <c r="S35" s="86" t="n"/>
    </row>
    <row r="36">
      <c r="L36" s="123" t="n"/>
      <c r="S36" s="86" t="n"/>
    </row>
    <row r="37">
      <c r="L37" s="123" t="n"/>
      <c r="S37" s="86" t="n"/>
    </row>
    <row r="38">
      <c r="L38" s="123" t="n"/>
      <c r="S38" s="86" t="n"/>
    </row>
    <row r="39">
      <c r="L39" s="123" t="n"/>
      <c r="S39" s="86" t="n"/>
    </row>
    <row r="40">
      <c r="L40" s="123" t="n"/>
      <c r="S40" s="86" t="n"/>
    </row>
    <row r="41">
      <c r="L41" s="123" t="n"/>
      <c r="S41" s="86" t="n"/>
    </row>
    <row r="42">
      <c r="L42" s="123" t="n"/>
      <c r="S42" s="86" t="n"/>
    </row>
    <row r="43">
      <c r="L43" s="123" t="n"/>
      <c r="S43" s="86" t="n"/>
    </row>
    <row r="44">
      <c r="L44" s="123" t="n"/>
      <c r="S44" s="86" t="n"/>
    </row>
    <row r="45">
      <c r="L45" s="123" t="n"/>
      <c r="S45" s="86" t="n"/>
    </row>
    <row r="46">
      <c r="L46" s="123" t="n"/>
      <c r="S46" s="86" t="n"/>
    </row>
    <row r="47">
      <c r="L47" s="123" t="n"/>
      <c r="S47" s="86" t="n"/>
    </row>
    <row r="48">
      <c r="L48" s="123" t="n"/>
      <c r="S48" s="86" t="n"/>
    </row>
    <row r="49">
      <c r="L49" s="123" t="n"/>
      <c r="S49" s="86" t="n"/>
    </row>
    <row r="50">
      <c r="L50" s="123" t="n"/>
      <c r="S50" s="86" t="n"/>
    </row>
    <row r="51">
      <c r="L51" s="123" t="n"/>
      <c r="S51" s="86" t="n"/>
    </row>
    <row r="52">
      <c r="L52" s="124" t="n"/>
      <c r="M52" s="125" t="n"/>
      <c r="N52" s="125" t="n"/>
      <c r="O52" s="125" t="n"/>
      <c r="P52" s="125" t="n"/>
      <c r="Q52" s="125" t="n"/>
      <c r="R52" s="125" t="n"/>
      <c r="S52" s="126" t="n"/>
    </row>
    <row r="53" ht="13.8" customHeight="1" s="85" thickBot="1"/>
    <row r="54" ht="13.8" customHeight="1" s="85" thickBot="1">
      <c r="L54" s="118" t="inlineStr">
        <is>
          <t>Observations</t>
        </is>
      </c>
      <c r="M54" s="119" t="n"/>
      <c r="N54" s="119" t="n"/>
      <c r="O54" s="119" t="n"/>
      <c r="P54" s="119" t="n"/>
      <c r="Q54" s="119" t="n"/>
      <c r="R54" s="119" t="n"/>
      <c r="S54" s="120" t="n"/>
    </row>
    <row r="56">
      <c r="L56" s="127" t="n"/>
      <c r="M56" s="122" t="n"/>
      <c r="N56" s="122" t="n"/>
      <c r="O56" s="122" t="n"/>
      <c r="P56" s="122" t="n"/>
      <c r="Q56" s="122" t="n"/>
      <c r="R56" s="122" t="n"/>
      <c r="S56" s="98" t="n"/>
    </row>
    <row r="57">
      <c r="L57" s="124" t="n"/>
      <c r="M57" s="125" t="n"/>
      <c r="N57" s="125" t="n"/>
      <c r="O57" s="125" t="n"/>
      <c r="P57" s="125" t="n"/>
      <c r="Q57" s="125" t="n"/>
      <c r="R57" s="125" t="n"/>
      <c r="S57" s="126" t="n"/>
    </row>
    <row r="58" ht="13.8" customHeight="1" s="85" thickBot="1"/>
    <row r="59" ht="13.8" customHeight="1" s="85" thickBot="1">
      <c r="L59" s="118" t="inlineStr">
        <is>
          <t>Livraison</t>
        </is>
      </c>
      <c r="M59" s="119" t="n"/>
      <c r="N59" s="119" t="n"/>
      <c r="O59" s="119" t="n"/>
      <c r="P59" s="119" t="n"/>
      <c r="Q59" s="119" t="n"/>
      <c r="R59" s="119" t="n"/>
      <c r="S59" s="120" t="n"/>
    </row>
    <row r="61">
      <c r="L61" s="29" t="n"/>
      <c r="M61" s="29" t="n"/>
      <c r="N61" s="51" t="n"/>
      <c r="O61" s="33" t="n"/>
    </row>
    <row r="62">
      <c r="E62" s="52" t="n"/>
    </row>
    <row r="63">
      <c r="L63" s="29" t="n"/>
      <c r="M63" s="29" t="n"/>
      <c r="N63" s="33" t="n"/>
      <c r="O63" s="33" t="n"/>
      <c r="P63" s="33" t="n"/>
    </row>
    <row r="64">
      <c r="L64" s="33" t="n"/>
      <c r="M64" s="33" t="n"/>
      <c r="N64" s="53" t="n"/>
      <c r="O64" s="53" t="n"/>
      <c r="P64" s="53" t="n"/>
      <c r="Q64" s="53" t="n"/>
      <c r="R64" s="53" t="n"/>
      <c r="S64" s="53" t="n"/>
    </row>
    <row r="65">
      <c r="L65" s="53" t="n"/>
      <c r="M65" s="53" t="n"/>
      <c r="N65" s="53" t="n"/>
      <c r="O65" s="53" t="n"/>
      <c r="P65" s="53" t="n"/>
      <c r="Q65" s="53" t="n"/>
      <c r="R65" s="53" t="n"/>
      <c r="S65" s="53" t="n"/>
    </row>
    <row r="66" ht="13.8" customHeight="1" s="85" thickBot="1"/>
    <row r="67" ht="12.75" customHeight="1" s="85">
      <c r="L67" s="107" t="inlineStr">
        <is>
          <t>Liste des achats</t>
        </is>
      </c>
      <c r="M67" s="108" t="n"/>
      <c r="N67" s="108" t="n"/>
      <c r="O67" s="108" t="n"/>
      <c r="P67" s="108" t="n"/>
      <c r="Q67" s="108" t="n"/>
      <c r="R67" s="108" t="n"/>
      <c r="S67" s="109" t="n"/>
    </row>
    <row r="68" ht="12.75" customHeight="1" s="85" thickBot="1">
      <c r="L68" s="110" t="n"/>
      <c r="M68" s="111" t="n"/>
      <c r="N68" s="111" t="n"/>
      <c r="O68" s="111" t="n"/>
      <c r="P68" s="111" t="n"/>
      <c r="Q68" s="111" t="n"/>
      <c r="R68" s="111" t="n"/>
      <c r="S68" s="112" t="n"/>
    </row>
    <row r="69">
      <c r="L69" s="35" t="n"/>
      <c r="M69" s="35" t="n"/>
      <c r="N69" s="35" t="n"/>
      <c r="O69" s="35" t="n"/>
      <c r="P69" s="35" t="n"/>
      <c r="Q69" s="35" t="n"/>
    </row>
    <row r="70">
      <c r="L70" t="inlineStr">
        <is>
          <t>N° devis</t>
        </is>
      </c>
      <c r="M70" s="113" t="n"/>
      <c r="N70" s="114" t="n"/>
      <c r="O70" s="35" t="n"/>
      <c r="P70" s="35" t="n"/>
      <c r="Q70" s="35" t="n"/>
      <c r="S70" s="35" t="inlineStr">
        <is>
          <t>Page 1/2</t>
        </is>
      </c>
    </row>
    <row r="71">
      <c r="E71" s="52" t="n"/>
      <c r="L71" t="inlineStr">
        <is>
          <t>N° dossier</t>
        </is>
      </c>
      <c r="M71" s="113">
        <f>M9</f>
        <v/>
      </c>
      <c r="N71" s="114" t="n"/>
      <c r="O71" s="35" t="n"/>
      <c r="P71" s="35" t="n"/>
      <c r="Q71" s="35" t="n"/>
    </row>
    <row r="72" ht="13.8" customHeight="1" s="85" thickBot="1">
      <c r="E72" s="52" t="n"/>
    </row>
    <row r="73" ht="13.8" customHeight="1" s="85" thickBot="1">
      <c r="E73" s="52" t="n"/>
      <c r="L73" s="128" t="inlineStr">
        <is>
          <t>Achats Couverture</t>
        </is>
      </c>
      <c r="M73" s="119" t="n"/>
      <c r="N73" s="119" t="n"/>
      <c r="O73" s="119" t="n"/>
      <c r="P73" s="119" t="n"/>
      <c r="Q73" s="119" t="n"/>
      <c r="R73" s="119" t="n"/>
      <c r="S73" s="120" t="n"/>
    </row>
    <row r="74" ht="13.8" customHeight="1" s="85" thickBot="1">
      <c r="E74" s="52" t="n"/>
      <c r="L74" t="inlineStr">
        <is>
          <t xml:space="preserve">Article : </t>
        </is>
      </c>
      <c r="M74" t="inlineStr">
        <is>
          <t>Couverture</t>
        </is>
      </c>
      <c r="R74" t="inlineStr">
        <is>
          <t xml:space="preserve">Référence : </t>
        </is>
      </c>
      <c r="S74" t="inlineStr">
        <is>
          <t>G0003</t>
        </is>
      </c>
    </row>
    <row r="75" ht="13.8" customHeight="1" s="85" thickBot="1">
      <c r="L75" t="inlineStr">
        <is>
          <t xml:space="preserve">Support : </t>
        </is>
      </c>
      <c r="M75" t="inlineStr">
        <is>
          <t>CARTON GRIS  17,5/10 75 X 105CM</t>
        </is>
      </c>
      <c r="O75" t="inlineStr">
        <is>
          <t xml:space="preserve">Surface : </t>
        </is>
      </c>
      <c r="P75" s="64" t="n"/>
      <c r="R75" t="inlineStr">
        <is>
          <t xml:space="preserve">Fournisseur : </t>
        </is>
      </c>
    </row>
    <row r="76">
      <c r="L76" t="inlineStr">
        <is>
          <t xml:space="preserve">Prix unitaire : </t>
        </is>
      </c>
      <c r="M76" t="n">
        <v>1.3</v>
      </c>
      <c r="N76" t="inlineStr">
        <is>
          <t>€/pièce</t>
        </is>
      </c>
      <c r="O76" t="inlineStr">
        <is>
          <t xml:space="preserve">Quantité : </t>
        </is>
      </c>
      <c r="P76" t="n">
        <v>50</v>
      </c>
      <c r="R76" t="inlineStr">
        <is>
          <t xml:space="preserve">Coût devisé : </t>
        </is>
      </c>
      <c r="S76" s="129" t="n">
        <v>65</v>
      </c>
    </row>
    <row r="77"/>
    <row r="78">
      <c r="E78" s="57" t="n"/>
      <c r="M78" s="130" t="n"/>
      <c r="N78" s="59" t="n"/>
      <c r="O78" s="130" t="n"/>
    </row>
    <row r="79">
      <c r="E79" s="57" t="n"/>
      <c r="M79" s="131" t="n"/>
      <c r="P79" s="132" t="n"/>
      <c r="S79" s="129" t="n"/>
    </row>
    <row r="80"/>
    <row r="81"/>
    <row r="82">
      <c r="E82" s="52" t="n"/>
    </row>
    <row r="83">
      <c r="E83" s="52" t="n"/>
      <c r="M83" s="130" t="n"/>
      <c r="N83" s="59" t="n"/>
      <c r="O83" s="130" t="n"/>
    </row>
    <row r="84">
      <c r="E84" s="52" t="n"/>
      <c r="M84" s="131" t="n"/>
      <c r="P84" s="132" t="n"/>
      <c r="S84" s="129" t="n"/>
    </row>
    <row r="85"/>
    <row r="86" ht="13.8" customHeight="1" s="85" thickBot="1">
      <c r="E86" s="52" t="n"/>
    </row>
    <row r="87" ht="13.8" customHeight="1" s="85" thickBot="1">
      <c r="E87" s="52" t="n"/>
      <c r="L87" s="128" t="n"/>
    </row>
    <row r="88" ht="13.8" customHeight="1" s="85" thickBot="1"/>
    <row r="89" ht="13.8" customHeight="1" s="85" thickBot="1">
      <c r="L89" s="128" t="n"/>
    </row>
    <row r="90" ht="13.8" customHeight="1" s="85" thickBot="1">
      <c r="E90" s="57" t="n"/>
    </row>
    <row r="91" ht="13.8" customHeight="1" s="85" thickBot="1">
      <c r="E91" s="57" t="n"/>
      <c r="L91" s="128" t="n"/>
    </row>
    <row r="92" ht="13.8" customHeight="1" s="85" thickBot="1"/>
    <row r="93" ht="13.8" customHeight="1" s="85" thickBot="1">
      <c r="E93" s="52" t="n"/>
      <c r="L93" s="128" t="n"/>
      <c r="T93" s="133" t="n"/>
    </row>
    <row r="94">
      <c r="E94" s="52" t="n"/>
      <c r="T94" s="133" t="n"/>
    </row>
    <row r="95">
      <c r="P95" s="64" t="n"/>
      <c r="T95" s="133" t="n"/>
    </row>
    <row r="96">
      <c r="E96" s="57" t="n"/>
      <c r="S96" s="129" t="n"/>
      <c r="T96" s="133" t="n"/>
    </row>
    <row r="97">
      <c r="E97" s="57" t="n"/>
      <c r="T97" s="133" t="n"/>
    </row>
    <row r="98">
      <c r="T98" s="133" t="n"/>
    </row>
    <row r="99">
      <c r="E99" s="52" t="n"/>
      <c r="P99" s="64" t="n"/>
      <c r="T99" s="133" t="n"/>
    </row>
    <row r="100">
      <c r="E100" s="52" t="n"/>
      <c r="S100" s="129" t="n"/>
      <c r="T100" s="133" t="n"/>
    </row>
    <row r="101">
      <c r="E101" s="52" t="n"/>
      <c r="T101" s="133" t="n"/>
    </row>
    <row r="102">
      <c r="T102" s="133" t="n"/>
    </row>
    <row r="103">
      <c r="E103" s="52" t="n"/>
      <c r="P103" s="64" t="n"/>
      <c r="T103" s="133" t="n"/>
    </row>
    <row r="104">
      <c r="S104" s="129" t="n"/>
      <c r="T104" s="133" t="n"/>
    </row>
    <row r="105">
      <c r="T105" s="133" t="n"/>
    </row>
    <row r="106">
      <c r="E106" s="57" t="n"/>
      <c r="T106" s="133" t="n"/>
    </row>
    <row r="107">
      <c r="E107" s="57" t="n"/>
      <c r="P107" s="64" t="n"/>
      <c r="T107" s="133" t="n"/>
    </row>
    <row r="108">
      <c r="S108" s="129" t="n"/>
      <c r="T108" s="133" t="n"/>
    </row>
    <row r="109">
      <c r="T109" s="133" t="n"/>
    </row>
    <row r="110">
      <c r="E110" s="52" t="n"/>
      <c r="T110" s="133" t="n"/>
    </row>
    <row r="111">
      <c r="E111" s="52" t="n"/>
      <c r="T111" s="133" t="n"/>
    </row>
    <row r="112">
      <c r="E112" s="52" t="n"/>
    </row>
    <row r="113">
      <c r="E113" s="52" t="n"/>
    </row>
    <row r="114">
      <c r="E114" s="52" t="n"/>
    </row>
    <row r="115"/>
    <row r="116"/>
    <row r="117">
      <c r="E117" s="52" t="n"/>
    </row>
    <row r="118"/>
    <row r="119">
      <c r="E119" s="52" t="n"/>
    </row>
    <row r="120">
      <c r="E120" s="52" t="n"/>
    </row>
    <row r="121">
      <c r="E121" s="52" t="n"/>
    </row>
    <row r="122">
      <c r="E122" s="52" t="n"/>
    </row>
    <row r="123">
      <c r="E123" s="52" t="n"/>
    </row>
    <row r="124"/>
    <row r="125">
      <c r="L125" s="52" t="n"/>
      <c r="M125" s="52" t="n"/>
      <c r="N125" s="52" t="n"/>
      <c r="O125" s="52" t="n"/>
    </row>
    <row r="126">
      <c r="E126" s="52" t="n"/>
      <c r="F126" s="52" t="n"/>
      <c r="G126" s="52" t="n"/>
      <c r="H126" s="52" t="n"/>
      <c r="I126" s="52" t="n"/>
      <c r="J126" s="52" t="n"/>
      <c r="K126" s="52" t="n"/>
    </row>
    <row r="127">
      <c r="F127" s="59" t="n"/>
      <c r="G127" s="59" t="n"/>
    </row>
    <row r="128" ht="13.8" customHeight="1" s="85" thickBot="1">
      <c r="E128" s="52" t="n"/>
      <c r="H128" s="52" t="n"/>
    </row>
    <row r="129">
      <c r="E129" s="52" t="n"/>
      <c r="H129" s="52" t="n"/>
      <c r="L129" s="107" t="inlineStr">
        <is>
          <t>Liste des achats</t>
        </is>
      </c>
      <c r="M129" s="108" t="n"/>
      <c r="N129" s="108" t="n"/>
      <c r="O129" s="108" t="n"/>
      <c r="P129" s="108" t="n"/>
      <c r="Q129" s="108" t="n"/>
      <c r="R129" s="108" t="n"/>
      <c r="S129" s="109" t="n"/>
    </row>
    <row r="130" ht="13.8" customHeight="1" s="85" thickBot="1">
      <c r="E130" s="52" t="n"/>
      <c r="H130" s="52" t="n"/>
      <c r="L130" s="110" t="n"/>
      <c r="M130" s="111" t="n"/>
      <c r="N130" s="111" t="n"/>
      <c r="O130" s="111" t="n"/>
      <c r="P130" s="111" t="n"/>
      <c r="Q130" s="111" t="n"/>
      <c r="R130" s="111" t="n"/>
      <c r="S130" s="112" t="n"/>
    </row>
    <row r="131">
      <c r="E131" s="52" t="n"/>
      <c r="H131" s="52" t="n"/>
      <c r="L131" s="35" t="n"/>
      <c r="M131" s="35" t="n"/>
      <c r="N131" s="35" t="n"/>
      <c r="O131" s="35" t="n"/>
      <c r="P131" s="35" t="n"/>
      <c r="Q131" s="35" t="n"/>
    </row>
    <row r="132">
      <c r="E132" s="52" t="n"/>
      <c r="H132" s="52" t="n"/>
      <c r="L132" t="inlineStr">
        <is>
          <t>N° devis</t>
        </is>
      </c>
      <c r="M132" s="113" t="n"/>
      <c r="N132" s="114" t="n"/>
      <c r="O132" s="35" t="n"/>
      <c r="P132" s="35" t="n"/>
      <c r="Q132" s="35" t="n"/>
      <c r="S132" s="35" t="inlineStr">
        <is>
          <t>Page 2/2</t>
        </is>
      </c>
    </row>
    <row r="133">
      <c r="E133" s="52" t="n"/>
      <c r="H133" s="52" t="n"/>
      <c r="L133" t="inlineStr">
        <is>
          <t>N° dossier</t>
        </is>
      </c>
      <c r="M133" s="113">
        <f>M9</f>
        <v/>
      </c>
      <c r="N133" s="114" t="n"/>
      <c r="O133" s="35" t="n"/>
      <c r="P133" s="35" t="n"/>
      <c r="Q133" s="35" t="n"/>
    </row>
    <row r="134">
      <c r="E134" s="52" t="n"/>
      <c r="H134" s="52" t="n"/>
    </row>
    <row r="135">
      <c r="E135" s="52" t="n"/>
      <c r="H135" s="52" t="n"/>
    </row>
    <row r="136">
      <c r="E136" s="52" t="n"/>
      <c r="H136" s="52" t="n"/>
    </row>
    <row r="137">
      <c r="E137" s="52" t="n"/>
      <c r="H137" s="52" t="n"/>
    </row>
    <row r="138">
      <c r="E138" s="52" t="n"/>
      <c r="H138" s="52" t="n"/>
    </row>
    <row r="139">
      <c r="E139" s="52" t="n"/>
      <c r="H139" s="52" t="n"/>
    </row>
    <row r="140">
      <c r="E140" s="52" t="n"/>
      <c r="H140" s="52" t="n"/>
    </row>
    <row r="141">
      <c r="E141" s="52" t="n"/>
      <c r="H141" s="52" t="n"/>
    </row>
    <row r="142">
      <c r="E142" s="52" t="n"/>
      <c r="H142" s="52" t="n"/>
    </row>
    <row r="143">
      <c r="E143" s="52" t="n"/>
      <c r="H143" s="52" t="n"/>
    </row>
    <row r="144">
      <c r="E144" s="52" t="n"/>
      <c r="H144" s="52" t="n"/>
    </row>
    <row r="145">
      <c r="E145" s="52" t="n"/>
      <c r="H145" s="52" t="n"/>
    </row>
    <row r="146">
      <c r="E146" s="52" t="n"/>
      <c r="H146" s="52" t="n"/>
    </row>
    <row r="147">
      <c r="E147" s="52" t="n"/>
      <c r="H147" s="52" t="n"/>
    </row>
    <row r="148">
      <c r="E148" s="52" t="n"/>
      <c r="H148" s="52" t="n"/>
    </row>
    <row r="149">
      <c r="E149" s="52" t="n"/>
      <c r="H149" s="52" t="n"/>
    </row>
    <row r="150">
      <c r="E150" s="52" t="n"/>
      <c r="H150" s="52" t="n"/>
    </row>
    <row r="151">
      <c r="E151" s="52" t="n"/>
      <c r="H151" s="52" t="n"/>
    </row>
    <row r="152">
      <c r="E152" s="52" t="n"/>
      <c r="H152" s="52" t="n"/>
    </row>
    <row r="153">
      <c r="E153" s="52" t="n"/>
      <c r="H153" s="52" t="n"/>
    </row>
    <row r="154">
      <c r="E154" s="52" t="n"/>
      <c r="H154" s="52" t="n"/>
    </row>
    <row r="155">
      <c r="E155" s="52" t="n"/>
      <c r="H155" s="52" t="n"/>
    </row>
    <row r="156">
      <c r="E156" s="52" t="n"/>
      <c r="H156" s="52" t="n"/>
    </row>
    <row r="157">
      <c r="E157" s="52" t="n"/>
      <c r="H157" s="52" t="n"/>
    </row>
    <row r="158">
      <c r="E158" s="52" t="n"/>
      <c r="H158" s="52" t="n"/>
    </row>
    <row r="159">
      <c r="E159" s="52" t="n"/>
      <c r="H159" s="52" t="n"/>
    </row>
    <row r="160">
      <c r="E160" s="52" t="n"/>
      <c r="H160" s="52" t="n"/>
    </row>
    <row r="161">
      <c r="E161" s="52" t="n"/>
      <c r="H161" s="52" t="n"/>
    </row>
    <row r="162">
      <c r="E162" s="52" t="n"/>
      <c r="H162" s="52" t="n"/>
    </row>
    <row r="163">
      <c r="E163" s="52" t="n"/>
      <c r="H163" s="52" t="n"/>
    </row>
    <row r="164">
      <c r="E164" s="52" t="n"/>
      <c r="H164" s="52" t="n"/>
    </row>
    <row r="165">
      <c r="E165" s="52" t="n"/>
      <c r="H165" s="52" t="n"/>
    </row>
    <row r="166">
      <c r="E166" s="52" t="n"/>
      <c r="H166" s="52" t="n"/>
    </row>
    <row r="167">
      <c r="E167" s="52" t="n"/>
      <c r="H167" s="52" t="n"/>
    </row>
    <row r="168">
      <c r="E168" s="52" t="n"/>
      <c r="H168" s="52" t="n"/>
    </row>
    <row r="169">
      <c r="E169" s="52" t="n"/>
      <c r="H169" s="52" t="n"/>
    </row>
    <row r="170">
      <c r="E170" s="52" t="n"/>
      <c r="H170" s="52" t="n"/>
    </row>
    <row r="171">
      <c r="E171" s="52" t="n"/>
      <c r="H171" s="52" t="n"/>
    </row>
    <row r="172">
      <c r="E172" s="52" t="n"/>
      <c r="H172" s="52" t="n"/>
    </row>
    <row r="173">
      <c r="E173" s="52" t="n"/>
      <c r="H173" s="52" t="n"/>
    </row>
    <row r="174">
      <c r="E174" s="52" t="n"/>
      <c r="H174" s="52" t="n"/>
    </row>
    <row r="175">
      <c r="E175" s="52" t="n"/>
      <c r="H175" s="52" t="n"/>
    </row>
    <row r="176">
      <c r="E176" s="52" t="n"/>
      <c r="H176" s="52" t="n"/>
    </row>
    <row r="177">
      <c r="E177" s="52" t="n"/>
      <c r="H177" s="52" t="n"/>
    </row>
    <row r="178">
      <c r="E178" s="52" t="n"/>
      <c r="H178" s="52" t="n"/>
    </row>
    <row r="179">
      <c r="E179" s="52" t="n"/>
      <c r="H179" s="52" t="n"/>
    </row>
    <row r="180">
      <c r="E180" s="52" t="n"/>
      <c r="H180" s="52" t="n"/>
    </row>
    <row r="181">
      <c r="E181" s="52" t="n"/>
      <c r="H181" s="52" t="n"/>
    </row>
    <row r="182">
      <c r="E182" s="52" t="n"/>
      <c r="H182" s="52" t="n"/>
    </row>
    <row r="183">
      <c r="E183" s="52" t="n"/>
      <c r="H183" s="52" t="n"/>
    </row>
    <row r="184">
      <c r="E184" s="52" t="n"/>
      <c r="H184" s="52" t="n"/>
    </row>
    <row r="185">
      <c r="E185" s="52" t="n"/>
      <c r="H185" s="52" t="n"/>
    </row>
    <row r="186">
      <c r="E186" s="52" t="n"/>
      <c r="H186" s="52" t="n"/>
    </row>
    <row r="187">
      <c r="E187" s="52" t="n"/>
      <c r="H187" s="52" t="n"/>
    </row>
    <row r="188">
      <c r="E188" s="52" t="n"/>
      <c r="H188" s="52" t="n"/>
    </row>
    <row r="189">
      <c r="E189" s="52" t="n"/>
      <c r="H189" s="52" t="n"/>
    </row>
    <row r="190" ht="13.8" customHeight="1" s="85" thickBot="1">
      <c r="E190" s="52" t="n"/>
      <c r="H190" s="52" t="n"/>
    </row>
    <row r="191" ht="12.75" customHeight="1" s="85">
      <c r="E191" s="52" t="n"/>
      <c r="H191" s="52" t="n"/>
      <c r="L191" s="107" t="inlineStr">
        <is>
          <t>Temps de fabrication</t>
        </is>
      </c>
      <c r="M191" s="108" t="n"/>
      <c r="N191" s="108" t="n"/>
      <c r="O191" s="108" t="n"/>
      <c r="P191" s="108" t="n"/>
      <c r="Q191" s="108" t="n"/>
      <c r="R191" s="108" t="n"/>
      <c r="S191" s="109" t="n"/>
    </row>
    <row r="192" ht="13.8" customHeight="1" s="85" thickBot="1">
      <c r="E192" s="52" t="n"/>
      <c r="H192" s="52" t="n"/>
      <c r="L192" s="110" t="n"/>
      <c r="M192" s="111" t="n"/>
      <c r="N192" s="111" t="n"/>
      <c r="O192" s="111" t="n"/>
      <c r="P192" s="111" t="n"/>
      <c r="Q192" s="111" t="n"/>
      <c r="R192" s="111" t="n"/>
      <c r="S192" s="112" t="n"/>
    </row>
    <row r="193">
      <c r="H193" s="57" t="n"/>
    </row>
    <row r="194">
      <c r="L194" t="inlineStr">
        <is>
          <t>N° devis</t>
        </is>
      </c>
      <c r="M194" s="113" t="n"/>
      <c r="N194" s="114" t="n"/>
      <c r="S194" s="35" t="inlineStr">
        <is>
          <t>Page 1/2</t>
        </is>
      </c>
    </row>
    <row r="195">
      <c r="L195" t="inlineStr">
        <is>
          <t>N° dossier</t>
        </is>
      </c>
      <c r="M195" s="113">
        <f>M9</f>
        <v/>
      </c>
      <c r="N195" s="114" t="n"/>
    </row>
    <row r="196" ht="13.8" customHeight="1" s="85" thickBot="1"/>
    <row r="197" ht="13.8" customHeight="1" s="85" thickBot="1">
      <c r="L197" s="128" t="inlineStr">
        <is>
          <t>Temps Couverture</t>
        </is>
      </c>
      <c r="M197" s="119" t="n"/>
      <c r="N197" s="119" t="n"/>
      <c r="O197" s="119" t="n"/>
      <c r="P197" s="119" t="n"/>
      <c r="Q197" s="119" t="n"/>
      <c r="R197" s="119" t="n"/>
      <c r="S197" s="120" t="n"/>
    </row>
    <row r="198">
      <c r="E198" s="52" t="n"/>
      <c r="L198" t="inlineStr">
        <is>
          <t>Article : Couverture</t>
        </is>
      </c>
      <c r="N198" t="inlineStr">
        <is>
          <t>Code : DE023LB</t>
        </is>
      </c>
      <c r="O198" t="inlineStr">
        <is>
          <t>MASSICOT FEUILLE CARTON GRIS</t>
        </is>
      </c>
      <c r="S198" s="65" t="n">
        <v>0.3</v>
      </c>
    </row>
    <row r="199" ht="13.8" customHeight="1" s="85" thickBot="1">
      <c r="L199" t="inlineStr">
        <is>
          <t>Article : Couverture</t>
        </is>
      </c>
      <c r="N199" t="inlineStr">
        <is>
          <t>Code : DE025LB</t>
        </is>
      </c>
      <c r="O199" t="inlineStr">
        <is>
          <t>MASSICOT FEUILLE PAPIER</t>
        </is>
      </c>
      <c r="S199" s="65" t="n">
        <v>0.2583333333333334</v>
      </c>
    </row>
    <row r="200" ht="13.8" customHeight="1" s="85" thickBot="1">
      <c r="L200" t="inlineStr">
        <is>
          <t>Article : Couverture</t>
        </is>
      </c>
      <c r="N200" t="inlineStr">
        <is>
          <t>Code : CO056LB</t>
        </is>
      </c>
      <c r="O200" t="inlineStr">
        <is>
          <t>CONTRECOLLAGE REMBORDAGE HABILLAGE CALENDRIER</t>
        </is>
      </c>
      <c r="S200" s="65" t="n">
        <v>1</v>
      </c>
    </row>
    <row r="201">
      <c r="L201" t="inlineStr">
        <is>
          <t>Article : Couverture</t>
        </is>
      </c>
      <c r="N201" t="inlineStr">
        <is>
          <t>Code : CO044LB</t>
        </is>
      </c>
      <c r="O201" t="inlineStr">
        <is>
          <t>CONTRECOLLAGE REMBORDAGE GARDE CALENDRIER</t>
        </is>
      </c>
      <c r="S201" s="65" t="n">
        <v>1</v>
      </c>
    </row>
    <row r="202" ht="13.8" customHeight="1" s="85" thickBot="1">
      <c r="L202" t="inlineStr">
        <is>
          <t>Article : Couverture</t>
        </is>
      </c>
      <c r="N202" t="inlineStr">
        <is>
          <t>Code : PE001LB</t>
        </is>
      </c>
      <c r="O202" t="inlineStr">
        <is>
          <t>PERFORATION 1 TROU</t>
        </is>
      </c>
      <c r="S202" s="65" t="n">
        <v>0.2785714285714286</v>
      </c>
    </row>
    <row r="203" ht="13.8" customHeight="1" s="85" thickBot="1">
      <c r="L203" t="inlineStr">
        <is>
          <t>Article : Couverture</t>
        </is>
      </c>
      <c r="N203" t="inlineStr">
        <is>
          <t>Code : EM016LB</t>
        </is>
      </c>
      <c r="O203" t="inlineStr">
        <is>
          <t>MISE SOUS FILM PAR PAQUET</t>
        </is>
      </c>
      <c r="S203" s="65" t="n">
        <v>0.6178571428571429</v>
      </c>
    </row>
    <row r="204" ht="12.75" customHeight="1" s="85" thickBot="1"/>
    <row r="205" ht="13.5" customHeight="1" s="85" thickBot="1">
      <c r="L205" s="128" t="n"/>
    </row>
    <row r="206">
      <c r="S206" s="65" t="n"/>
    </row>
    <row r="207" ht="13.8" customHeight="1" s="85" thickBot="1"/>
    <row r="208" ht="13.8" customHeight="1" s="85" thickBot="1">
      <c r="L208" s="128" t="n"/>
    </row>
    <row r="209">
      <c r="S209" s="65" t="n"/>
    </row>
    <row r="210">
      <c r="S210" s="65" t="n"/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 ht="13.8" customHeight="1" s="85" thickBot="1"/>
    <row r="253">
      <c r="L253" s="107" t="inlineStr">
        <is>
          <t>Temps de fabrication</t>
        </is>
      </c>
      <c r="M253" s="108" t="n"/>
      <c r="N253" s="108" t="n"/>
      <c r="O253" s="108" t="n"/>
      <c r="P253" s="108" t="n"/>
      <c r="Q253" s="108" t="n"/>
      <c r="R253" s="108" t="n"/>
      <c r="S253" s="109" t="n"/>
    </row>
    <row r="254" ht="13.8" customHeight="1" s="85" thickBot="1">
      <c r="L254" s="110" t="n"/>
      <c r="M254" s="111" t="n"/>
      <c r="N254" s="111" t="n"/>
      <c r="O254" s="111" t="n"/>
      <c r="P254" s="111" t="n"/>
      <c r="Q254" s="111" t="n"/>
      <c r="R254" s="111" t="n"/>
      <c r="S254" s="112" t="n"/>
    </row>
    <row r="256">
      <c r="L256" t="inlineStr">
        <is>
          <t>N° devis</t>
        </is>
      </c>
      <c r="M256" s="113" t="n"/>
      <c r="N256" s="114" t="n"/>
      <c r="S256" s="66" t="inlineStr">
        <is>
          <t>Page 2/2</t>
        </is>
      </c>
    </row>
    <row r="257">
      <c r="L257" t="inlineStr">
        <is>
          <t>N° dossier</t>
        </is>
      </c>
      <c r="M257" s="113">
        <f>M71</f>
        <v/>
      </c>
      <c r="N257" s="114" t="n"/>
    </row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 ht="13.8" customHeight="1" s="85" thickBot="1"/>
    <row r="315">
      <c r="L315" s="107" t="inlineStr">
        <is>
          <t>Synthèse coûts et temps affectés au dossier</t>
        </is>
      </c>
      <c r="M315" s="108" t="n"/>
      <c r="N315" s="108" t="n"/>
      <c r="O315" s="108" t="n"/>
      <c r="P315" s="108" t="n"/>
      <c r="Q315" s="108" t="n"/>
      <c r="R315" s="108" t="n"/>
      <c r="S315" s="109" t="n"/>
    </row>
    <row r="316" ht="13.8" customHeight="1" s="85" thickBot="1">
      <c r="L316" s="110" t="n"/>
      <c r="M316" s="111" t="n"/>
      <c r="N316" s="111" t="n"/>
      <c r="O316" s="111" t="n"/>
      <c r="P316" s="111" t="n"/>
      <c r="Q316" s="111" t="n"/>
      <c r="R316" s="111" t="n"/>
      <c r="S316" s="112" t="n"/>
    </row>
    <row r="318">
      <c r="L318" t="inlineStr">
        <is>
          <t>N° devis</t>
        </is>
      </c>
      <c r="M318" s="113" t="n"/>
      <c r="N318" s="114" t="n"/>
      <c r="S318" s="66" t="inlineStr">
        <is>
          <t>Page 1/1</t>
        </is>
      </c>
    </row>
    <row r="319">
      <c r="L319" t="inlineStr">
        <is>
          <t>N° dossier</t>
        </is>
      </c>
      <c r="M319" s="113">
        <f>M9</f>
        <v/>
      </c>
      <c r="N319" s="114" t="n"/>
    </row>
    <row r="321" ht="13.8" customHeight="1" s="85" thickBot="1"/>
    <row r="322" ht="14.4" customHeight="1" s="85" thickBot="1">
      <c r="N322" s="134" t="inlineStr">
        <is>
          <t>Coûts départ usine</t>
        </is>
      </c>
      <c r="O322" s="119" t="n"/>
      <c r="P322" s="119" t="n"/>
      <c r="Q322" s="120" t="n"/>
    </row>
    <row r="323">
      <c r="N323" s="70" t="n"/>
      <c r="P323" s="71" t="n"/>
      <c r="R323" s="72" t="inlineStr">
        <is>
          <t>Total des achats A + C</t>
        </is>
      </c>
      <c r="S323" s="125" t="n"/>
    </row>
    <row r="324">
      <c r="N324" s="84" t="inlineStr">
        <is>
          <t>A : Achats</t>
        </is>
      </c>
      <c r="P324" s="135" t="n"/>
      <c r="Q324" s="114" t="n"/>
      <c r="R324" s="135">
        <f>P324+P326</f>
        <v/>
      </c>
      <c r="S324" s="114" t="n"/>
    </row>
    <row r="325">
      <c r="N325" s="75" t="inlineStr">
        <is>
          <t>B : Converting</t>
        </is>
      </c>
      <c r="P325" s="76" t="n"/>
      <c r="Q325" s="114" t="n"/>
    </row>
    <row r="326">
      <c r="N326" s="75" t="inlineStr">
        <is>
          <t>C : Formes de découpe</t>
        </is>
      </c>
      <c r="P326" s="76" t="n"/>
      <c r="Q326" s="114" t="n"/>
    </row>
    <row r="327">
      <c r="N327" s="75" t="inlineStr">
        <is>
          <t>Total départ usine</t>
        </is>
      </c>
      <c r="P327" s="76" t="n"/>
      <c r="Q327" s="114" t="n"/>
    </row>
    <row r="328">
      <c r="N328" s="29" t="n"/>
      <c r="P328" s="29" t="n"/>
      <c r="Q328" s="77" t="inlineStr">
        <is>
          <t>Coef RFA</t>
        </is>
      </c>
    </row>
    <row r="329">
      <c r="N329" s="75" t="inlineStr">
        <is>
          <t>Coefficient achats</t>
        </is>
      </c>
      <c r="P329" s="78" t="n"/>
      <c r="Q329" s="79" t="n"/>
    </row>
    <row r="330">
      <c r="N330" s="75" t="inlineStr">
        <is>
          <t>Vente</t>
        </is>
      </c>
      <c r="P330" s="80" t="n"/>
      <c r="Q330" s="114" t="n"/>
    </row>
    <row r="331">
      <c r="N331" s="75" t="inlineStr">
        <is>
          <t>Marge</t>
        </is>
      </c>
      <c r="P331" s="80" t="n"/>
      <c r="Q331" s="114" t="n"/>
    </row>
    <row r="332" ht="13.8" customHeight="1" s="85" thickBot="1">
      <c r="N332" s="75" t="inlineStr">
        <is>
          <t>Pourcentage</t>
        </is>
      </c>
      <c r="P332" s="81" t="n"/>
      <c r="Q332" s="98" t="n"/>
    </row>
    <row r="333" ht="13.8" customHeight="1" s="85" thickBot="1">
      <c r="N333" s="75" t="inlineStr">
        <is>
          <t>PU départ usine</t>
        </is>
      </c>
      <c r="P333" s="82" t="n"/>
      <c r="Q333" s="136" t="n"/>
    </row>
    <row r="336" ht="13.8" customHeight="1" s="85" thickBot="1"/>
    <row r="337" ht="14.4" customHeight="1" s="85" thickBot="1">
      <c r="N337" s="134" t="inlineStr">
        <is>
          <t>Coûts Franco</t>
        </is>
      </c>
      <c r="O337" s="119" t="n"/>
      <c r="P337" s="119" t="n"/>
      <c r="Q337" s="120" t="n"/>
    </row>
    <row r="338">
      <c r="P338" s="71" t="n"/>
      <c r="R338" s="72" t="inlineStr">
        <is>
          <t>Total des achats A + C + D</t>
        </is>
      </c>
      <c r="S338" s="125" t="n"/>
    </row>
    <row r="339">
      <c r="N339" s="84" t="inlineStr">
        <is>
          <t>A : Achats</t>
        </is>
      </c>
      <c r="P339" s="76" t="n"/>
      <c r="Q339" s="114" t="n"/>
      <c r="R339" s="135">
        <f>P339+P341+P342</f>
        <v/>
      </c>
      <c r="S339" s="114" t="n"/>
    </row>
    <row r="340">
      <c r="N340" s="84" t="inlineStr">
        <is>
          <t>B : Converting</t>
        </is>
      </c>
      <c r="P340" s="76" t="n"/>
      <c r="Q340" s="114" t="n"/>
    </row>
    <row r="341">
      <c r="N341" s="75" t="inlineStr">
        <is>
          <t>C : Formes de découpe</t>
        </is>
      </c>
      <c r="P341" s="76" t="n"/>
      <c r="Q341" s="114" t="n"/>
    </row>
    <row r="342">
      <c r="N342" s="84" t="inlineStr">
        <is>
          <t>D : Transport</t>
        </is>
      </c>
      <c r="P342" s="76" t="n"/>
      <c r="Q342" s="114" t="n"/>
    </row>
    <row r="343">
      <c r="N343" s="137" t="inlineStr">
        <is>
          <t>Total Franco</t>
        </is>
      </c>
      <c r="O343" s="86" t="n"/>
      <c r="P343" s="87" t="n"/>
      <c r="Q343" s="114" t="n"/>
    </row>
    <row r="344">
      <c r="N344" s="137" t="inlineStr">
        <is>
          <t>Coefficient achats</t>
        </is>
      </c>
      <c r="O344" s="86" t="n"/>
      <c r="P344" s="78" t="n"/>
      <c r="Q344" s="79" t="n"/>
      <c r="R344" s="88" t="inlineStr">
        <is>
          <t>Coef RFA</t>
        </is>
      </c>
    </row>
    <row r="345">
      <c r="N345" s="84" t="inlineStr">
        <is>
          <t>Vente</t>
        </is>
      </c>
      <c r="P345" s="89" t="n"/>
      <c r="Q345" s="114" t="n"/>
    </row>
    <row r="346">
      <c r="N346" s="84" t="inlineStr">
        <is>
          <t>Marge</t>
        </is>
      </c>
      <c r="P346" s="89" t="n"/>
      <c r="Q346" s="114" t="n"/>
    </row>
    <row r="347" ht="13.8" customHeight="1" s="85" thickBot="1">
      <c r="N347" s="84" t="inlineStr">
        <is>
          <t>Pourcentage</t>
        </is>
      </c>
      <c r="P347" s="90" t="n"/>
      <c r="Q347" s="98" t="n"/>
    </row>
    <row r="348" ht="13.8" customHeight="1" s="85" thickBot="1">
      <c r="N348" s="84" t="inlineStr">
        <is>
          <t>PU franco</t>
        </is>
      </c>
      <c r="P348" s="91" t="n"/>
      <c r="Q348" s="136" t="n"/>
    </row>
    <row r="351" ht="13.8" customHeight="1" s="85" thickBot="1"/>
    <row r="352" ht="14.4" customHeight="1" s="85" thickBot="1">
      <c r="N352" s="134" t="inlineStr">
        <is>
          <t>Estimation des temps hors sous-traitance</t>
        </is>
      </c>
      <c r="O352" s="119" t="n"/>
      <c r="P352" s="119" t="n"/>
      <c r="Q352" s="119" t="n"/>
      <c r="R352" s="120" t="n"/>
    </row>
    <row r="353">
      <c r="N353" s="138" t="inlineStr">
        <is>
          <t>Postes</t>
        </is>
      </c>
      <c r="P353" s="86" t="n"/>
      <c r="Q353" s="95" t="inlineStr">
        <is>
          <t>Temps</t>
        </is>
      </c>
      <c r="R353" s="126" t="n"/>
    </row>
    <row r="354">
      <c r="N354" s="139" t="inlineStr">
        <is>
          <t>Impression numérique</t>
        </is>
      </c>
      <c r="O354" s="122" t="n"/>
      <c r="P354" s="98" t="n"/>
      <c r="Q354" s="99" t="n"/>
      <c r="R354" s="114" t="n"/>
    </row>
    <row r="355">
      <c r="N355" s="139" t="inlineStr">
        <is>
          <t>Finition numérique</t>
        </is>
      </c>
      <c r="O355" s="122" t="n"/>
      <c r="P355" s="98" t="n"/>
      <c r="Q355" s="99" t="n"/>
      <c r="R355" s="114" t="n"/>
    </row>
    <row r="356">
      <c r="N356" s="139" t="inlineStr">
        <is>
          <t>Découpe échantillons</t>
        </is>
      </c>
      <c r="O356" s="122" t="n"/>
      <c r="P356" s="98" t="n"/>
      <c r="Q356" s="99" t="n"/>
      <c r="R356" s="114" t="n"/>
    </row>
    <row r="357">
      <c r="N357" s="100" t="inlineStr">
        <is>
          <t>Fabrication carte</t>
        </is>
      </c>
      <c r="O357" s="116" t="n"/>
      <c r="P357" s="114" t="n"/>
      <c r="Q357" s="99" t="n"/>
      <c r="R357" s="114" t="n"/>
    </row>
    <row r="358" ht="13.8" customHeight="1" s="85" thickBot="1">
      <c r="N358" s="100" t="inlineStr">
        <is>
          <t>Conditionnement</t>
        </is>
      </c>
      <c r="O358" s="116" t="n"/>
      <c r="P358" s="114" t="n"/>
      <c r="Q358" s="102" t="n"/>
      <c r="R358" s="98" t="n"/>
    </row>
    <row r="359" ht="13.8" customHeight="1" s="85" thickBot="1">
      <c r="N359" s="100" t="inlineStr">
        <is>
          <t>Total</t>
        </is>
      </c>
      <c r="O359" s="116" t="n"/>
      <c r="P359" s="114" t="n"/>
      <c r="Q359" s="104" t="n"/>
      <c r="R359" s="136" t="n"/>
    </row>
    <row r="438">
      <c r="L438" s="106" t="n"/>
      <c r="M438" s="106" t="n"/>
      <c r="N438" s="106" t="n"/>
      <c r="O438" s="106" t="n"/>
      <c r="P438" s="106" t="n"/>
      <c r="Q438" s="106" t="n"/>
      <c r="R438" s="106" t="n"/>
      <c r="S438" s="106" t="n"/>
    </row>
  </sheetData>
  <mergeCells count="86">
    <mergeCell ref="P20:Q20"/>
    <mergeCell ref="M70:N70"/>
    <mergeCell ref="L24:S24"/>
    <mergeCell ref="L18:S18"/>
    <mergeCell ref="N354:P354"/>
    <mergeCell ref="P346:Q346"/>
    <mergeCell ref="L73:S73"/>
    <mergeCell ref="M195:N195"/>
    <mergeCell ref="N356:P356"/>
    <mergeCell ref="N339:O339"/>
    <mergeCell ref="P339:Q339"/>
    <mergeCell ref="N348:O348"/>
    <mergeCell ref="P348:Q348"/>
    <mergeCell ref="M8:N8"/>
    <mergeCell ref="R323:S323"/>
    <mergeCell ref="L21:M21"/>
    <mergeCell ref="N340:O340"/>
    <mergeCell ref="P324:Q324"/>
    <mergeCell ref="R324:S324"/>
    <mergeCell ref="P333:Q333"/>
    <mergeCell ref="L16:M16"/>
    <mergeCell ref="N16:O16"/>
    <mergeCell ref="Q353:R353"/>
    <mergeCell ref="N342:O342"/>
    <mergeCell ref="N358:P358"/>
    <mergeCell ref="M257:N257"/>
    <mergeCell ref="L191:S192"/>
    <mergeCell ref="M13:N13"/>
    <mergeCell ref="L4:S4"/>
    <mergeCell ref="N359:P359"/>
    <mergeCell ref="L20:M20"/>
    <mergeCell ref="L54:S54"/>
    <mergeCell ref="P326:Q326"/>
    <mergeCell ref="M11:S11"/>
    <mergeCell ref="L26:S52"/>
    <mergeCell ref="Q356:R356"/>
    <mergeCell ref="N337:Q337"/>
    <mergeCell ref="M12:S12"/>
    <mergeCell ref="P347:Q347"/>
    <mergeCell ref="N346:O346"/>
    <mergeCell ref="P13:S13"/>
    <mergeCell ref="L129:S130"/>
    <mergeCell ref="Q357:R357"/>
    <mergeCell ref="M9:N9"/>
    <mergeCell ref="P330:Q330"/>
    <mergeCell ref="M132:N132"/>
    <mergeCell ref="M319:N319"/>
    <mergeCell ref="P332:Q332"/>
    <mergeCell ref="P341:Q341"/>
    <mergeCell ref="P325:Q325"/>
    <mergeCell ref="Q354:R354"/>
    <mergeCell ref="P327:Q327"/>
    <mergeCell ref="N322:Q322"/>
    <mergeCell ref="Q359:R359"/>
    <mergeCell ref="M194:N194"/>
    <mergeCell ref="Q355:R355"/>
    <mergeCell ref="M71:N71"/>
    <mergeCell ref="N343:O343"/>
    <mergeCell ref="P343:Q343"/>
    <mergeCell ref="N353:P353"/>
    <mergeCell ref="L315:S316"/>
    <mergeCell ref="N345:O345"/>
    <mergeCell ref="P345:Q345"/>
    <mergeCell ref="R339:S339"/>
    <mergeCell ref="M14:S14"/>
    <mergeCell ref="R338:S338"/>
    <mergeCell ref="L56:S57"/>
    <mergeCell ref="P8:Q8"/>
    <mergeCell ref="P331:Q331"/>
    <mergeCell ref="P340:Q340"/>
    <mergeCell ref="N347:O347"/>
    <mergeCell ref="L197:S197"/>
    <mergeCell ref="Q358:R358"/>
    <mergeCell ref="L253:S254"/>
    <mergeCell ref="M133:N133"/>
    <mergeCell ref="E2:F2"/>
    <mergeCell ref="L5:Q6"/>
    <mergeCell ref="N352:R352"/>
    <mergeCell ref="L67:S68"/>
    <mergeCell ref="N355:P355"/>
    <mergeCell ref="P342:Q342"/>
    <mergeCell ref="M318:N318"/>
    <mergeCell ref="L59:S59"/>
    <mergeCell ref="N357:P357"/>
    <mergeCell ref="N344:O344"/>
    <mergeCell ref="M256:N256"/>
  </mergeCells>
  <printOptions horizontalCentered="1" verticalCentered="1"/>
  <pageMargins left="0.3937007874015748" right="0.3937007874015748" top="0.3937007874015748" bottom="0.3937007874015748" header="0" footer="0"/>
  <pageSetup orientation="portrait" paperSize="9" scale="91" fitToWidth="0" pageOrder="overThenDown"/>
  <rowBreaks count="5" manualBreakCount="5">
    <brk id="66" min="11" max="18" man="1"/>
    <brk id="128" min="11" max="18" man="1"/>
    <brk id="190" min="11" max="18" man="1"/>
    <brk id="252" min="11" max="18" man="1"/>
    <brk id="314" min="11" max="18" man="1"/>
  </rowBreaks>
  <colBreaks count="1" manualBreakCount="1">
    <brk id="11" min="4" max="6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Maxime BLANZAT - PONCEBLANC</dc:creator>
  <dcterms:created xmlns:dcterms="http://purl.org/dc/terms/" xmlns:xsi="http://www.w3.org/2001/XMLSchema-instance" xsi:type="dcterms:W3CDTF">2026-09-21T12:05:47Z</dcterms:created>
  <dcterms:modified xmlns:dcterms="http://purl.org/dc/terms/" xmlns:xsi="http://www.w3.org/2001/XMLSchema-instance" xsi:type="dcterms:W3CDTF">2026-09-21T13:23:26Z</dcterms:modified>
  <cp:lastModifiedBy>Maxime BLANZAT - PONCEBLANC</cp:lastModifiedBy>
</cp:coreProperties>
</file>